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Usuario\Documents\Segundo Año TECLAB\Prácticas Prof\"/>
    </mc:Choice>
  </mc:AlternateContent>
  <xr:revisionPtr revIDLastSave="0" documentId="13_ncr:1_{85ACC28F-64EC-4FF8-8FF6-90A47A7CDC3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atriz de Riesgos" sheetId="1" r:id="rId1"/>
    <sheet name="Estimación de Probabilidad" sheetId="2" r:id="rId2"/>
    <sheet name="Estimación de Impacto" sheetId="3" r:id="rId3"/>
    <sheet name="Estimación de Severidad" sheetId="4" r:id="rId4"/>
    <sheet name="Tabla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1" i="1" l="1"/>
  <c r="J5" i="1"/>
  <c r="O72" i="1" a="1"/>
  <c r="O72" i="1" s="1"/>
  <c r="O77" i="1" a="1"/>
  <c r="O77" i="1" s="1"/>
  <c r="O37" i="1" a="1"/>
  <c r="O37" i="1" s="1"/>
  <c r="O67" i="1" a="1"/>
  <c r="O67" i="1" s="1"/>
  <c r="O62" i="1" a="1"/>
  <c r="O62" i="1" s="1"/>
  <c r="O57" i="1" a="1"/>
  <c r="O57" i="1" s="1"/>
  <c r="O52" i="1" a="1"/>
  <c r="O52" i="1" s="1"/>
  <c r="O47" i="1" a="1"/>
  <c r="O47" i="1" s="1"/>
  <c r="O42" i="1" a="1"/>
  <c r="O42" i="1" s="1"/>
  <c r="O32" i="1" a="1"/>
  <c r="O32" i="1" s="1"/>
  <c r="O27" i="1" a="1"/>
  <c r="O27" i="1" s="1"/>
  <c r="O22" i="1" a="1"/>
  <c r="O22" i="1" s="1"/>
  <c r="O16" i="1" a="1"/>
  <c r="O16" i="1" s="1"/>
  <c r="O11" i="1" a="1"/>
  <c r="O11" i="1" s="1"/>
  <c r="O5" i="1" a="1"/>
  <c r="O5" i="1" s="1"/>
  <c r="J77" i="1"/>
  <c r="J72" i="1"/>
  <c r="J67" i="1"/>
  <c r="J62" i="1"/>
  <c r="J52" i="1"/>
  <c r="J57" i="1"/>
  <c r="J47" i="1"/>
  <c r="J42" i="1"/>
  <c r="J37" i="1"/>
  <c r="J32" i="1"/>
  <c r="J27" i="1"/>
  <c r="J22" i="1"/>
  <c r="J16" i="1"/>
  <c r="N35" i="4"/>
  <c r="N34" i="4"/>
  <c r="N33" i="4"/>
  <c r="N32" i="4"/>
  <c r="N31" i="4"/>
  <c r="N30" i="4"/>
  <c r="N29" i="4"/>
  <c r="N28" i="4"/>
  <c r="N27" i="4"/>
  <c r="N26" i="4"/>
  <c r="N25" i="4"/>
  <c r="N24" i="4"/>
  <c r="N23" i="4"/>
  <c r="N22" i="4"/>
  <c r="N21" i="4"/>
  <c r="N20" i="4"/>
  <c r="N19" i="4"/>
  <c r="N18" i="4"/>
  <c r="N17" i="4"/>
  <c r="N16" i="4"/>
  <c r="N15" i="4"/>
  <c r="N14" i="4"/>
  <c r="N13" i="4"/>
  <c r="N12" i="4"/>
  <c r="N11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<sst xmlns="http://schemas.openxmlformats.org/spreadsheetml/2006/main" count="225" uniqueCount="144">
  <si>
    <t>ETAPA</t>
  </si>
  <si>
    <t>ACTIVIDAD / PROCESO</t>
  </si>
  <si>
    <t>ACTOR</t>
  </si>
  <si>
    <t>RECURSO INVOLUCRADO</t>
  </si>
  <si>
    <t>ORIGEN DEL RIESGO</t>
  </si>
  <si>
    <t>DESCRIPCIÓN DEL RIESGO</t>
  </si>
  <si>
    <t>VULNERABILIDAD</t>
  </si>
  <si>
    <t>PROBABILIDAD</t>
  </si>
  <si>
    <t>DESCRIPCIÓN DE PROBABILIDAD</t>
  </si>
  <si>
    <t>JUSTIFICACIÓN DE PROBABILIDAD</t>
  </si>
  <si>
    <t>IMPACTO</t>
  </si>
  <si>
    <t>DESCRIPCIÓN DEL IMPACTO</t>
  </si>
  <si>
    <t>JUSTIFICACIÓN DEL IMPACTO</t>
  </si>
  <si>
    <t>SEVERIDAD DEL RIESGO</t>
  </si>
  <si>
    <t>MATRIZ DE RIESGOS ASOCIADOS A DISTRIBUIDORA NORTE</t>
  </si>
  <si>
    <t>ANÁLISIS Y EVALUACIÓN DE RIESGOS</t>
  </si>
  <si>
    <t>Compra a proveedor</t>
  </si>
  <si>
    <t>Recepción de comprobante de compra</t>
  </si>
  <si>
    <t>Proveedor
Vendedor</t>
  </si>
  <si>
    <t>Teléfono móvil
WhatsApp</t>
  </si>
  <si>
    <t>Teléfono móvil
WhatsApp
Email</t>
  </si>
  <si>
    <t>Falta de verificación de archivos adjuntos antes de su apertura</t>
  </si>
  <si>
    <t>Apertura de  archivo malicioso 
recibido como 
comprobante de compra.</t>
  </si>
  <si>
    <t>Falta de verificación de 
archivos adjuntos 
antes de su apertura</t>
  </si>
  <si>
    <t>Valor</t>
  </si>
  <si>
    <t>Casi certeza</t>
  </si>
  <si>
    <t>Probable</t>
  </si>
  <si>
    <t>Moderado</t>
  </si>
  <si>
    <t>Improbable</t>
  </si>
  <si>
    <t>Muy improbable</t>
  </si>
  <si>
    <t>VALOR</t>
  </si>
  <si>
    <t>CATEGORÍA</t>
  </si>
  <si>
    <t>DESCRIPCIÓN</t>
  </si>
  <si>
    <t>Riesgo cuya probabilidad de ocurrencia es muy alta, 
 se tiene un alto grado de seguridad que este se presente en el año en curso. (90 % a 100 %).</t>
  </si>
  <si>
    <t>Riesgo cuya probabilidad de ocurrencia es alta, 
se tiene entre 66 % a 89 % de seguridad que este se presente en el año en curso.</t>
  </si>
  <si>
    <t>Riesgo cuya probabilidad de ocurrencia es media,
 se tiene entre 31 % a 65 % de seguridad que este se presente en el año en curso.</t>
  </si>
  <si>
    <t>Riesgo cuya probabilidad de ocurrencia es baja,  
se tiene entre 11 % a 30 % de seguridad que este se presente en el año en curso.</t>
  </si>
  <si>
    <t>Riesgo cuya probabilidad de ocurrencia es muy baja, 
se tiene entre 1 % a 10 % de seguridad que este se presente en el año en curso.</t>
  </si>
  <si>
    <t>Catastrófico</t>
  </si>
  <si>
    <t>Mayores</t>
  </si>
  <si>
    <t>Moderadas</t>
  </si>
  <si>
    <t>Menores</t>
  </si>
  <si>
    <t>Insignificantes</t>
  </si>
  <si>
    <t>Riesgo cuya materialización puede generar pérdidas financieras ($) que tendrán un impacto catastrófico en la organización y/o comprometen totalmente la imagen de la organización.</t>
  </si>
  <si>
    <t>Riesgo cuya materialización puede generar pérdidas financieras ($) que tendrán un impacto importante en la organización y/o comprometen fuertemente la imagen de la organización.</t>
  </si>
  <si>
    <t>Riesgo cuya materialización puede generar pérdidas financieras ($) que tendrán un impacto moderado en la organización y/o comprometen moderadamente la imagen de la organización.</t>
  </si>
  <si>
    <t xml:space="preserve">Riesgo cuya materialización puede generar pérdidas financieras ($) que tendrán un impacto menor en la organización y/o comprometen de forma menor la imagen de la organización. </t>
  </si>
  <si>
    <t>Riesgo cuya materialización no genera pérdidas financieras ($) ni compromete de ninguna forma la imagen de la organización.</t>
  </si>
  <si>
    <t>Probabilidad</t>
  </si>
  <si>
    <t>Impacto</t>
  </si>
  <si>
    <t>Nivel de Probabilidad</t>
  </si>
  <si>
    <t>Nivel de Impacto</t>
  </si>
  <si>
    <t>Severidad</t>
  </si>
  <si>
    <t>Extremo</t>
  </si>
  <si>
    <t>Alto</t>
  </si>
  <si>
    <t>Bajo</t>
  </si>
  <si>
    <t>Apertura de un archivo malicioso 
recibido como
 comprobante de compra</t>
  </si>
  <si>
    <t>Pérdidas financieras por malware</t>
  </si>
  <si>
    <t>Falta de verificación de archivos
 adjuntos antes de su apertura</t>
  </si>
  <si>
    <t>Solicitar datos personales</t>
  </si>
  <si>
    <t>Recepción de mensaje fraudulento
 que suplanta la identidad del proveedor</t>
  </si>
  <si>
    <t>Phishing</t>
  </si>
  <si>
    <t>Falta de validación de la
 identidad del proveedor</t>
  </si>
  <si>
    <t>Acceso no autorizado</t>
  </si>
  <si>
    <t>Suplantación de identidad</t>
  </si>
  <si>
    <t>Cliente
Vendedor</t>
  </si>
  <si>
    <t xml:space="preserve">Cobro de venta </t>
  </si>
  <si>
    <t>Pérdida económica</t>
  </si>
  <si>
    <t>Télefono móvil
WhatsApp</t>
  </si>
  <si>
    <t>Pérdida de mercadería</t>
  </si>
  <si>
    <t>PC
Sistema de gestión</t>
  </si>
  <si>
    <t>Fallos de hardware</t>
  </si>
  <si>
    <t>Vendedor</t>
  </si>
  <si>
    <t>Fallos de software</t>
  </si>
  <si>
    <t>Avería electrica</t>
  </si>
  <si>
    <t>Comunicación vía móvil</t>
  </si>
  <si>
    <t>Teléfono móvil
WhatsApp Bussiness
Whatsapp de Uso Personal</t>
  </si>
  <si>
    <t>Pérdida de información en cuentas personales</t>
  </si>
  <si>
    <t>Dificultad para recuperar conversaciones</t>
  </si>
  <si>
    <t>Pérdida o hurto de dispositivos</t>
  </si>
  <si>
    <t>Recepción y verificación del 
comprobante de compra</t>
  </si>
  <si>
    <t>Falta de verificación del comprobante.
Falta de acreditación del dinero.</t>
  </si>
  <si>
    <t>Gestión y registro en el sistema</t>
  </si>
  <si>
    <t>Registro y actualización de 
información en el sistema de gestión</t>
  </si>
  <si>
    <t>Mostrar comprobante falso 
de compra al vendedor</t>
  </si>
  <si>
    <t>Fallo en la infraestructura 
tecnológica que soporta el sistema</t>
  </si>
  <si>
    <t>Gestión de comunicaciones comerciales 
mediante dispositivos móviles</t>
  </si>
  <si>
    <t>Combinación de uso personal 
y comercial en los dispositivos</t>
  </si>
  <si>
    <t>Falta de manteniminento 
preventivo al equipo</t>
  </si>
  <si>
    <t>Falta de parches y 
actualizaciones de seguridad</t>
  </si>
  <si>
    <t>Falta de protección eléctrica y de mecanismos de guardado o recuperación</t>
  </si>
  <si>
    <t>Falta de backup en 
cuentas personales</t>
  </si>
  <si>
    <t>Ausencia de mecanismos de
respaldo y recuperación de conversaciones</t>
  </si>
  <si>
    <t>Falta de controles adecuados 
de acceso y autenticación en activos</t>
  </si>
  <si>
    <t>Ausencia de copias de seguridad, de un 
dispositivo alternativo y de un 
procedimiento de recuperación</t>
  </si>
  <si>
    <t>La recepción de archivos de proveedores es habitual,
 pero para que ocurra el riesgo el archivo debe ser malicioso y ser abierto por el vendedor.</t>
  </si>
  <si>
    <t>El riesgo requiere la apertura y ejecución de un archivo malicioso que llegue a afectar el funcionamiento del dispositivo.</t>
  </si>
  <si>
    <t>Para producir una pérdida económica, el malware tendría que comprometer además credenciales o aplicaciones relacionadas con los cobros.</t>
  </si>
  <si>
    <t>La comunicación habitual mediante WhatsApp facilita la recepción de mensajes 
que podrían intentar hacerse pasar por un proveedor real.</t>
  </si>
  <si>
    <t>La entrega de datos o credenciales ante un mensaje fraudulento
 podría permitir el acceso indebido a cuentas o información del negocio.</t>
  </si>
  <si>
    <t>La comunicación remota con proveedores hace posible recibir 
mensajes de terceros que imiten su identidad.</t>
  </si>
  <si>
    <t>Existe la posibilidad de aceptar un comprobante adulterado si no se 
verifica la acreditación efectiva del pago antes de concretar la venta.</t>
  </si>
  <si>
    <t>La mercadería podría entregarse antes de confirmar el ingreso real del dinero, 
permitiendo que un comprobante falso pase inadvertido.</t>
  </si>
  <si>
    <t>La PC se utiliza de manera habitual para el sistema de gestión y la falta de mantenimiento 
preventivo aumenta la posibilidad de fallas del equipo.</t>
  </si>
  <si>
    <t>La falta de parches y actualizaciones puede favorecer errores o problemas de funcionamiento, 
aunque no necesariamente se presentan de forma frecuente.</t>
  </si>
  <si>
    <t>Los cortes o variaciones de energía pueden producirse ocasionalmente y afectar 
el equipo o la información que se encuentre en uso.</t>
  </si>
  <si>
    <t>Las cuentas personales se utilizan para comunicaciones comerciales y no cuentan con backup, aumentando considerablemente la exposición a pérdida de información.</t>
  </si>
  <si>
    <t>La falta de mecanismos de respaldo y recuperación hace probable que existan 
dificultades para restaurar conversaciones ante una falla del dispositivo.</t>
  </si>
  <si>
    <t>Para concretarse, un tercero tendría que obtener acceso al dispositivo
 o superar los mecanismos de autenticación utilizados.</t>
  </si>
  <si>
    <t>Los teléfonos se utilizan de forma cotidiana y pueden extraviarse o ser sustraídos, 
aunque no es una situación que ocurra habitualmente.</t>
  </si>
  <si>
    <t>Puede impedir temporalmente el uso de dispositivos y afectar tareas comerciales.</t>
  </si>
  <si>
    <t>Puede afectar la confidencialidad, integridad o disponibilidad de información del negocio.</t>
  </si>
  <si>
    <t>Puede generar accesos indebidos a cuentas o movimientos no autorizados.</t>
  </si>
  <si>
    <t>Puede provocar entrega de información 
sensible o credenciales a terceros.</t>
  </si>
  <si>
    <t>Puede permitir el ingreso indebido a cuentas
 o información del negocio.</t>
  </si>
  <si>
    <t>Puede generar engaños, solicitudes falsas o 
decisiones basadas en una identidad fraudulenta.</t>
  </si>
  <si>
    <t>Puede provocar una pérdida directa de 
dinero al aceptar un pago inexistente.</t>
  </si>
  <si>
    <t>Puede ocasionar la entrega de productos 
sin recibir el pago correspondiente.</t>
  </si>
  <si>
    <t>Puede dejar fuera de servicio la PC
 utilizada para la gestión.</t>
  </si>
  <si>
    <t>Puede generar errores, bloqueos o
 indisponibilidad del sistema de gestión.</t>
  </si>
  <si>
    <t>Puede interrumpir el trabajo y provocar 
pérdida de información no guardada.</t>
  </si>
  <si>
    <t>Puede ocasionar la pérdida de conversaciones,
 pedidos o datos comerciales.</t>
  </si>
  <si>
    <t>Puede dificultar la continuidad de la atención
 y recuperación de información previa.</t>
  </si>
  <si>
    <t>Puede exponer conversaciones, contactos o 
información comercial almacenada.</t>
  </si>
  <si>
    <t>Puede provocar pérdida de acceso a cuentas, 
información y comunicaciones del negocio.</t>
  </si>
  <si>
    <t>La información afectada puede ser necesaria 
para pedidos, clientes, proveedores o comprobantes del negocio.</t>
  </si>
  <si>
    <t>La indisponibilidad de un dispositivo puede 
retrasar comunicaciones y tareas habituales de la distribuidora.</t>
  </si>
  <si>
    <t>El acceso a cuentas o credenciales puede generar pérdidas económicas directas.</t>
  </si>
  <si>
    <t>La entrega de datos sensibles puede comprometer 
cuentas y facilitar otros accesos fraudulentos.</t>
  </si>
  <si>
    <t>Un tercero podría visualizar, modificar 
o utilizar información sin permiso.</t>
  </si>
  <si>
    <t>El engaño puede generar acciones o 
decisiones basadas en información falsa.</t>
  </si>
  <si>
    <t>El negocio puede considerar una venta como
 pagada cuando el dinero nunca fue acreditado.</t>
  </si>
  <si>
    <t>La entrega sin cobro representa una pérdida
 directa de productos y valor económico.</t>
  </si>
  <si>
    <t>La PC es necesaria para el sistema de gestión y 
su falla puede detener parte de la operatoria.</t>
  </si>
  <si>
    <t>Los errores del sistema pueden impedir registrar o 
consultar información necesaria para la gestión.</t>
  </si>
  <si>
    <t>Un corte puede interrumpir el trabajo y 
ocasionar pérdida de datos no guardados.</t>
  </si>
  <si>
    <t>La falta de respaldo puede hacer que conversaciones o datos comerciales no puedan recuperarse.</t>
  </si>
  <si>
    <t>La falta de acceso a conversaciones anteriores puede complicar el seguimiento de pedidos o clientes.</t>
  </si>
  <si>
    <t>El dispositivo contiene comunicaciones y 
datos que podrían quedar expuestos a terceros.</t>
  </si>
  <si>
    <t>La pérdida física del equipo puede afectar tanto 
el acceso a cuentas como la continuidad 
de la comunicación comercial.</t>
  </si>
  <si>
    <t>Interrupción de las 
operaciones por malware</t>
  </si>
  <si>
    <t>Compromiso de
 información por malware</t>
  </si>
  <si>
    <t>Comunicación
 con proveedor</t>
  </si>
  <si>
    <t>Comunicación 
con proveedor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</si>
</sst>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4"/>
      <color theme="0"/>
      <name val="Times New Roman"/>
      <family val="1"/>
    </font>
    <font>
      <sz val="11"/>
      <color theme="1"/>
      <name val="Calibri"/>
      <family val="2"/>
    </font>
    <font>
      <b/>
      <sz val="12"/>
      <color theme="0"/>
      <name val="Times New Roman"/>
      <family val="1"/>
    </font>
    <font>
      <b/>
      <sz val="11"/>
      <color theme="1"/>
      <name val="Times New Roman"/>
      <family val="1"/>
    </font>
  </fonts>
  <fills count="22">
    <fill>
      <patternFill patternType="none"/>
    </fill>
    <fill>
      <patternFill patternType="gray125"/>
    </fill>
    <fill>
      <patternFill patternType="solid">
        <fgColor rgb="FFCC0099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333F4F"/>
        <bgColor rgb="FF333F4F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00206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FFC000"/>
        <bgColor rgb="FFFFC000"/>
      </patternFill>
    </fill>
    <fill>
      <patternFill patternType="solid">
        <fgColor rgb="FFFFCC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7"/>
        <bgColor rgb="FFFFC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7" fillId="16" borderId="2" xfId="0" applyFont="1" applyFill="1" applyBorder="1"/>
    <xf numFmtId="0" fontId="7" fillId="8" borderId="2" xfId="0" applyFont="1" applyFill="1" applyBorder="1"/>
    <xf numFmtId="0" fontId="7" fillId="9" borderId="2" xfId="0" applyFont="1" applyFill="1" applyBorder="1"/>
    <xf numFmtId="0" fontId="7" fillId="10" borderId="2" xfId="0" applyFont="1" applyFill="1" applyBorder="1"/>
    <xf numFmtId="0" fontId="9" fillId="0" borderId="0" xfId="0" applyFont="1" applyAlignment="1">
      <alignment horizontal="center" vertical="top"/>
    </xf>
    <xf numFmtId="0" fontId="9" fillId="0" borderId="0" xfId="0" applyFont="1"/>
    <xf numFmtId="0" fontId="8" fillId="7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7" fillId="21" borderId="2" xfId="0" applyFont="1" applyFill="1" applyBorder="1"/>
    <xf numFmtId="0" fontId="3" fillId="15" borderId="2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18" borderId="1" xfId="0" applyFont="1" applyFill="1" applyBorder="1" applyAlignment="1">
      <alignment horizontal="center" vertical="center"/>
    </xf>
    <xf numFmtId="0" fontId="4" fillId="19" borderId="1" xfId="0" applyFont="1" applyFill="1" applyBorder="1" applyAlignment="1">
      <alignment horizontal="center" vertical="center" wrapText="1"/>
    </xf>
    <xf numFmtId="0" fontId="4" fillId="19" borderId="1" xfId="0" applyFont="1" applyFill="1" applyBorder="1" applyAlignment="1">
      <alignment horizontal="center" vertical="center"/>
    </xf>
    <xf numFmtId="0" fontId="4" fillId="2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center" vertical="center"/>
    </xf>
    <xf numFmtId="0" fontId="9" fillId="13" borderId="1" xfId="0" applyFont="1" applyFill="1" applyBorder="1" applyAlignment="1">
      <alignment horizontal="center" vertical="center"/>
    </xf>
    <xf numFmtId="0" fontId="9" fillId="14" borderId="1" xfId="0" applyFont="1" applyFill="1" applyBorder="1" applyAlignment="1">
      <alignment horizontal="center" vertical="center"/>
    </xf>
    <xf numFmtId="0" fontId="9" fillId="15" borderId="1" xfId="0" applyFont="1" applyFill="1" applyBorder="1" applyAlignment="1">
      <alignment horizontal="center" vertical="center"/>
    </xf>
    <xf numFmtId="0" fontId="9" fillId="4" borderId="0" xfId="0" applyFont="1" applyFill="1" applyAlignment="1">
      <alignment horizontal="center" vertical="center"/>
    </xf>
  </cellXfs>
  <cellStyles count="1">
    <cellStyle name="Normal" xfId="0" builtinId="0"/>
  </cellStyles>
  <dxfs count="20">
    <dxf>
      <font>
        <color theme="0"/>
      </font>
      <fill>
        <patternFill patternType="solid">
          <fgColor rgb="FFFF0000"/>
          <bgColor rgb="FFFF0000"/>
        </patternFill>
      </fill>
    </dxf>
    <dxf>
      <font>
        <color theme="1"/>
      </font>
      <fill>
        <patternFill patternType="solid">
          <fgColor rgb="FFFFC000"/>
          <bgColor rgb="FFFFC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8000"/>
        </patternFill>
      </fill>
    </dxf>
    <dxf>
      <fill>
        <patternFill>
          <bgColor rgb="FF00FF00"/>
        </patternFill>
      </fill>
    </dxf>
    <dxf>
      <fill>
        <patternFill>
          <bgColor rgb="FF66FF33"/>
        </patternFill>
      </fill>
    </dxf>
  </dxfs>
  <tableStyles count="0" defaultTableStyle="TableStyleMedium2" defaultPivotStyle="PivotStyleLight16"/>
  <colors>
    <mruColors>
      <color rgb="FFCCCC00"/>
      <color rgb="FF92D050"/>
      <color rgb="FF66FF33"/>
      <color rgb="FFFF0000"/>
      <color rgb="FFFF99FF"/>
      <color rgb="FF99CCFF"/>
      <color rgb="FFFFCC99"/>
      <color rgb="FFCC66FF"/>
      <color rgb="FF00800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81"/>
  <sheetViews>
    <sheetView tabSelected="1" topLeftCell="B70" zoomScale="90" zoomScaleNormal="90" workbookViewId="0">
      <selection activeCell="D89" sqref="D89"/>
    </sheetView>
  </sheetViews>
  <sheetFormatPr baseColWidth="10" defaultColWidth="9.140625" defaultRowHeight="15" x14ac:dyDescent="0.25"/>
  <cols>
    <col min="2" max="2" width="27.5703125" customWidth="1"/>
    <col min="3" max="3" width="36.85546875" customWidth="1"/>
    <col min="4" max="4" width="27.28515625" customWidth="1"/>
    <col min="5" max="5" width="41.5703125" customWidth="1"/>
    <col min="6" max="6" width="35.5703125" customWidth="1"/>
    <col min="7" max="7" width="41.7109375" customWidth="1"/>
    <col min="8" max="8" width="27.5703125" customWidth="1"/>
    <col min="9" max="9" width="27.28515625" customWidth="1"/>
    <col min="10" max="10" width="54" customWidth="1"/>
    <col min="11" max="11" width="81.5703125" customWidth="1"/>
    <col min="12" max="12" width="27.5703125" customWidth="1"/>
    <col min="13" max="13" width="47" customWidth="1"/>
    <col min="14" max="14" width="45.42578125" customWidth="1"/>
    <col min="15" max="15" width="36.85546875" customWidth="1"/>
  </cols>
  <sheetData>
    <row r="1" spans="2:15" x14ac:dyDescent="0.25">
      <c r="B1" s="13" t="s">
        <v>14</v>
      </c>
      <c r="C1" s="13"/>
      <c r="D1" s="13"/>
      <c r="E1" s="13"/>
      <c r="F1" s="13"/>
      <c r="G1" s="13"/>
      <c r="H1" s="13"/>
      <c r="I1" s="14" t="s">
        <v>15</v>
      </c>
      <c r="J1" s="15"/>
      <c r="K1" s="15"/>
      <c r="L1" s="15"/>
      <c r="M1" s="15"/>
      <c r="N1" s="15"/>
      <c r="O1" s="15"/>
    </row>
    <row r="2" spans="2:15" x14ac:dyDescent="0.25">
      <c r="B2" s="13"/>
      <c r="C2" s="13"/>
      <c r="D2" s="13"/>
      <c r="E2" s="13"/>
      <c r="F2" s="13"/>
      <c r="G2" s="13"/>
      <c r="H2" s="13"/>
      <c r="I2" s="15"/>
      <c r="J2" s="15"/>
      <c r="K2" s="15"/>
      <c r="L2" s="15"/>
      <c r="M2" s="15"/>
      <c r="N2" s="15"/>
      <c r="O2" s="15"/>
    </row>
    <row r="3" spans="2:15" x14ac:dyDescent="0.25">
      <c r="B3" s="17" t="s">
        <v>0</v>
      </c>
      <c r="C3" s="17" t="s">
        <v>1</v>
      </c>
      <c r="D3" s="17" t="s">
        <v>2</v>
      </c>
      <c r="E3" s="17" t="s">
        <v>3</v>
      </c>
      <c r="F3" s="17" t="s">
        <v>4</v>
      </c>
      <c r="G3" s="17" t="s">
        <v>5</v>
      </c>
      <c r="H3" s="17" t="s">
        <v>6</v>
      </c>
      <c r="I3" s="16" t="s">
        <v>7</v>
      </c>
      <c r="J3" s="16" t="s">
        <v>8</v>
      </c>
      <c r="K3" s="16" t="s">
        <v>9</v>
      </c>
      <c r="L3" s="16" t="s">
        <v>10</v>
      </c>
      <c r="M3" s="16" t="s">
        <v>11</v>
      </c>
      <c r="N3" s="16" t="s">
        <v>12</v>
      </c>
      <c r="O3" s="16" t="s">
        <v>13</v>
      </c>
    </row>
    <row r="4" spans="2:15" x14ac:dyDescent="0.25">
      <c r="B4" s="17"/>
      <c r="C4" s="17"/>
      <c r="D4" s="17"/>
      <c r="E4" s="17"/>
      <c r="F4" s="17"/>
      <c r="G4" s="17"/>
      <c r="H4" s="17"/>
      <c r="I4" s="16"/>
      <c r="J4" s="16"/>
      <c r="K4" s="16"/>
      <c r="L4" s="16"/>
      <c r="M4" s="16"/>
      <c r="N4" s="16"/>
      <c r="O4" s="16"/>
    </row>
    <row r="5" spans="2:15" ht="15" customHeight="1" x14ac:dyDescent="0.25">
      <c r="B5" s="20" t="s">
        <v>16</v>
      </c>
      <c r="C5" s="11" t="s">
        <v>17</v>
      </c>
      <c r="D5" s="12" t="s">
        <v>18</v>
      </c>
      <c r="E5" s="12" t="s">
        <v>20</v>
      </c>
      <c r="F5" s="12" t="s">
        <v>22</v>
      </c>
      <c r="G5" s="18" t="s">
        <v>141</v>
      </c>
      <c r="H5" s="12" t="s">
        <v>23</v>
      </c>
      <c r="I5" s="24">
        <v>2</v>
      </c>
      <c r="J5" s="24" t="str">
        <f>IF(I5="","",IF(I5=1,"Muy improbable",IF(I5=2,"Improbable",IF(I5=3,"Moderado",IF(I5=4,"Probable",IF(I5=5,"Casi certeza",""))))))</f>
        <v>Improbable</v>
      </c>
      <c r="K5" s="12" t="s">
        <v>95</v>
      </c>
      <c r="L5" s="11">
        <v>4</v>
      </c>
      <c r="M5" s="12" t="s">
        <v>111</v>
      </c>
      <c r="N5" s="12" t="s">
        <v>125</v>
      </c>
      <c r="O5" s="21" t="str" cm="1">
        <f t="array" ref="O5">IF(OR(I5="",L5=""),"",INDEX('Estimación de Severidad'!$O$11:$O$35,MATCH(1,('Estimación de Severidad'!$L$11:$L$35=I5)*('Estimación de Severidad'!$M$11:$M$35=L5),0)))</f>
        <v>Alto</v>
      </c>
    </row>
    <row r="6" spans="2:15" ht="15" customHeight="1" x14ac:dyDescent="0.25">
      <c r="B6" s="20"/>
      <c r="C6" s="11"/>
      <c r="D6" s="12"/>
      <c r="E6" s="12"/>
      <c r="F6" s="12"/>
      <c r="G6" s="19"/>
      <c r="H6" s="12"/>
      <c r="I6" s="24"/>
      <c r="J6" s="24"/>
      <c r="K6" s="12"/>
      <c r="L6" s="11"/>
      <c r="M6" s="11"/>
      <c r="N6" s="11"/>
      <c r="O6" s="22"/>
    </row>
    <row r="7" spans="2:15" ht="15" customHeight="1" x14ac:dyDescent="0.25">
      <c r="B7" s="20"/>
      <c r="C7" s="11"/>
      <c r="D7" s="12"/>
      <c r="E7" s="12"/>
      <c r="F7" s="12"/>
      <c r="G7" s="19"/>
      <c r="H7" s="12"/>
      <c r="I7" s="24"/>
      <c r="J7" s="24"/>
      <c r="K7" s="12"/>
      <c r="L7" s="11"/>
      <c r="M7" s="11"/>
      <c r="N7" s="11"/>
      <c r="O7" s="22"/>
    </row>
    <row r="8" spans="2:15" ht="15" customHeight="1" x14ac:dyDescent="0.25">
      <c r="B8" s="20"/>
      <c r="C8" s="11"/>
      <c r="D8" s="12"/>
      <c r="E8" s="12"/>
      <c r="F8" s="12"/>
      <c r="G8" s="19"/>
      <c r="H8" s="12"/>
      <c r="I8" s="24"/>
      <c r="J8" s="24"/>
      <c r="K8" s="12"/>
      <c r="L8" s="11"/>
      <c r="M8" s="11"/>
      <c r="N8" s="11"/>
      <c r="O8" s="22"/>
    </row>
    <row r="9" spans="2:15" ht="15" customHeight="1" x14ac:dyDescent="0.25">
      <c r="B9" s="20"/>
      <c r="C9" s="11"/>
      <c r="D9" s="12"/>
      <c r="E9" s="12"/>
      <c r="F9" s="12"/>
      <c r="G9" s="19"/>
      <c r="H9" s="12"/>
      <c r="I9" s="24"/>
      <c r="J9" s="24"/>
      <c r="K9" s="12"/>
      <c r="L9" s="11"/>
      <c r="M9" s="11"/>
      <c r="N9" s="11"/>
      <c r="O9" s="22"/>
    </row>
    <row r="10" spans="2:15" x14ac:dyDescent="0.25">
      <c r="B10" s="20"/>
      <c r="C10" s="11"/>
      <c r="D10" s="12"/>
      <c r="E10" s="12"/>
      <c r="F10" s="12"/>
      <c r="G10" s="19"/>
      <c r="H10" s="12"/>
      <c r="I10" s="24"/>
      <c r="J10" s="24"/>
      <c r="K10" s="12"/>
      <c r="L10" s="11"/>
      <c r="M10" s="11"/>
      <c r="N10" s="11"/>
      <c r="O10" s="23"/>
    </row>
    <row r="11" spans="2:15" ht="15" customHeight="1" x14ac:dyDescent="0.25">
      <c r="B11" s="20" t="s">
        <v>16</v>
      </c>
      <c r="C11" s="11" t="s">
        <v>17</v>
      </c>
      <c r="D11" s="12" t="s">
        <v>18</v>
      </c>
      <c r="E11" s="12" t="s">
        <v>20</v>
      </c>
      <c r="F11" s="12" t="s">
        <v>56</v>
      </c>
      <c r="G11" s="18" t="s">
        <v>140</v>
      </c>
      <c r="H11" s="12" t="s">
        <v>21</v>
      </c>
      <c r="I11" s="11">
        <v>2</v>
      </c>
      <c r="J11" s="11" t="str">
        <f>IF(I11="","",IF(I11=1,"Muy improbable",IF(I5=2,"Improbable",IF(I11=3,"Moderado",IF(I5=4,"Probable",IF(I11=5,"Casi certeza",""))))))</f>
        <v>Improbable</v>
      </c>
      <c r="K11" s="12" t="s">
        <v>96</v>
      </c>
      <c r="L11" s="11">
        <v>2</v>
      </c>
      <c r="M11" s="12" t="s">
        <v>110</v>
      </c>
      <c r="N11" s="12" t="s">
        <v>126</v>
      </c>
      <c r="O11" s="11" t="str" cm="1">
        <f t="array" ref="O11">IF(OR(I11="",L11=""),"",INDEX('Estimación de Severidad'!$O$11:$O$35,MATCH(1,('Estimación de Severidad'!$L$11:$L$35=I11)*('Estimación de Severidad'!$M$11:$M$35=L11),0)))</f>
        <v>Bajo</v>
      </c>
    </row>
    <row r="12" spans="2:15" ht="15" customHeight="1" x14ac:dyDescent="0.25">
      <c r="B12" s="20"/>
      <c r="C12" s="11"/>
      <c r="D12" s="12"/>
      <c r="E12" s="12"/>
      <c r="F12" s="11"/>
      <c r="G12" s="19"/>
      <c r="H12" s="11"/>
      <c r="I12" s="11"/>
      <c r="J12" s="11"/>
      <c r="K12" s="11"/>
      <c r="L12" s="11"/>
      <c r="M12" s="11"/>
      <c r="N12" s="11"/>
      <c r="O12" s="11"/>
    </row>
    <row r="13" spans="2:15" ht="15" customHeight="1" x14ac:dyDescent="0.25">
      <c r="B13" s="20"/>
      <c r="C13" s="11"/>
      <c r="D13" s="12"/>
      <c r="E13" s="12"/>
      <c r="F13" s="11"/>
      <c r="G13" s="19"/>
      <c r="H13" s="11"/>
      <c r="I13" s="11"/>
      <c r="J13" s="11"/>
      <c r="K13" s="11"/>
      <c r="L13" s="11"/>
      <c r="M13" s="11"/>
      <c r="N13" s="11"/>
      <c r="O13" s="11"/>
    </row>
    <row r="14" spans="2:15" ht="15" customHeight="1" x14ac:dyDescent="0.25">
      <c r="B14" s="20"/>
      <c r="C14" s="11"/>
      <c r="D14" s="12"/>
      <c r="E14" s="12"/>
      <c r="F14" s="11"/>
      <c r="G14" s="19"/>
      <c r="H14" s="11"/>
      <c r="I14" s="11"/>
      <c r="J14" s="11"/>
      <c r="K14" s="11"/>
      <c r="L14" s="11"/>
      <c r="M14" s="11"/>
      <c r="N14" s="11"/>
      <c r="O14" s="11"/>
    </row>
    <row r="15" spans="2:15" ht="15" customHeight="1" x14ac:dyDescent="0.25">
      <c r="B15" s="20"/>
      <c r="C15" s="11"/>
      <c r="D15" s="12"/>
      <c r="E15" s="12"/>
      <c r="F15" s="11"/>
      <c r="G15" s="19"/>
      <c r="H15" s="11"/>
      <c r="I15" s="11"/>
      <c r="J15" s="11"/>
      <c r="K15" s="11"/>
      <c r="L15" s="11"/>
      <c r="M15" s="11"/>
      <c r="N15" s="11"/>
      <c r="O15" s="11"/>
    </row>
    <row r="16" spans="2:15" ht="15" customHeight="1" x14ac:dyDescent="0.25">
      <c r="B16" s="20" t="s">
        <v>16</v>
      </c>
      <c r="C16" s="11" t="s">
        <v>17</v>
      </c>
      <c r="D16" s="12" t="s">
        <v>18</v>
      </c>
      <c r="E16" s="12" t="s">
        <v>20</v>
      </c>
      <c r="F16" s="12" t="s">
        <v>56</v>
      </c>
      <c r="G16" s="20" t="s">
        <v>57</v>
      </c>
      <c r="H16" s="12" t="s">
        <v>58</v>
      </c>
      <c r="I16" s="11">
        <v>2</v>
      </c>
      <c r="J16" s="11" t="str">
        <f>IF(I16="","",IF(I16=1,"Muy improbable",IF(I16=2,"Improbable",IF(I16=3,"Moderado",IF(I16=4,"Probable",IF(I16=5,"Casi certeza",""))))))</f>
        <v>Improbable</v>
      </c>
      <c r="K16" s="12" t="s">
        <v>97</v>
      </c>
      <c r="L16" s="11">
        <v>2</v>
      </c>
      <c r="M16" s="12" t="s">
        <v>112</v>
      </c>
      <c r="N16" s="12" t="s">
        <v>127</v>
      </c>
      <c r="O16" s="11" t="str" cm="1">
        <f t="array" ref="O16">IF(OR(I16="",L16=""),"",INDEX('Estimación de Severidad'!$O$11:$O$35,MATCH(1,('Estimación de Severidad'!$L$11:$L$35=I16)*('Estimación de Severidad'!$M$11:$M$35=L16),0)))</f>
        <v>Bajo</v>
      </c>
    </row>
    <row r="17" spans="2:15" x14ac:dyDescent="0.25">
      <c r="B17" s="20"/>
      <c r="C17" s="11"/>
      <c r="D17" s="11"/>
      <c r="E17" s="11"/>
      <c r="F17" s="11"/>
      <c r="G17" s="20"/>
      <c r="H17" s="11"/>
      <c r="I17" s="11"/>
      <c r="J17" s="11"/>
      <c r="K17" s="11"/>
      <c r="L17" s="11"/>
      <c r="M17" s="11"/>
      <c r="N17" s="11"/>
      <c r="O17" s="11"/>
    </row>
    <row r="18" spans="2:15" x14ac:dyDescent="0.25">
      <c r="B18" s="20"/>
      <c r="C18" s="11"/>
      <c r="D18" s="11"/>
      <c r="E18" s="11"/>
      <c r="F18" s="11"/>
      <c r="G18" s="20"/>
      <c r="H18" s="11"/>
      <c r="I18" s="11"/>
      <c r="J18" s="11"/>
      <c r="K18" s="11"/>
      <c r="L18" s="11"/>
      <c r="M18" s="11"/>
      <c r="N18" s="11"/>
      <c r="O18" s="11"/>
    </row>
    <row r="19" spans="2:15" x14ac:dyDescent="0.25">
      <c r="B19" s="20"/>
      <c r="C19" s="11"/>
      <c r="D19" s="11"/>
      <c r="E19" s="11"/>
      <c r="F19" s="11"/>
      <c r="G19" s="20"/>
      <c r="H19" s="11"/>
      <c r="I19" s="11"/>
      <c r="J19" s="11"/>
      <c r="K19" s="11"/>
      <c r="L19" s="11"/>
      <c r="M19" s="11"/>
      <c r="N19" s="11"/>
      <c r="O19" s="11"/>
    </row>
    <row r="20" spans="2:15" x14ac:dyDescent="0.25">
      <c r="B20" s="20"/>
      <c r="C20" s="11"/>
      <c r="D20" s="11"/>
      <c r="E20" s="11"/>
      <c r="F20" s="11"/>
      <c r="G20" s="20"/>
      <c r="H20" s="11"/>
      <c r="I20" s="11"/>
      <c r="J20" s="11"/>
      <c r="K20" s="11"/>
      <c r="L20" s="11"/>
      <c r="M20" s="11"/>
      <c r="N20" s="11"/>
      <c r="O20" s="11"/>
    </row>
    <row r="21" spans="2:15" x14ac:dyDescent="0.25">
      <c r="B21" s="20"/>
      <c r="C21" s="11"/>
      <c r="D21" s="11"/>
      <c r="E21" s="11"/>
      <c r="F21" s="11"/>
      <c r="G21" s="20"/>
      <c r="H21" s="11"/>
      <c r="I21" s="11"/>
      <c r="J21" s="11"/>
      <c r="K21" s="11"/>
      <c r="L21" s="11"/>
      <c r="M21" s="11"/>
      <c r="N21" s="11"/>
      <c r="O21" s="11"/>
    </row>
    <row r="22" spans="2:15" x14ac:dyDescent="0.25">
      <c r="B22" s="25" t="s">
        <v>142</v>
      </c>
      <c r="C22" s="11" t="s">
        <v>59</v>
      </c>
      <c r="D22" s="12" t="s">
        <v>18</v>
      </c>
      <c r="E22" s="12" t="s">
        <v>19</v>
      </c>
      <c r="F22" s="12" t="s">
        <v>60</v>
      </c>
      <c r="G22" s="26" t="s">
        <v>61</v>
      </c>
      <c r="H22" s="12" t="s">
        <v>62</v>
      </c>
      <c r="I22" s="11">
        <v>4</v>
      </c>
      <c r="J22" s="11" t="str">
        <f>IF(I22="","",IF(I22=1,"Muy improbable",IF(I22=2,"Improbable",IF(I22=3,"Moderado",IF(I22=4,"Probable",IF(I22=5,"Casi certeza",""))))))</f>
        <v>Probable</v>
      </c>
      <c r="K22" s="12" t="s">
        <v>98</v>
      </c>
      <c r="L22" s="11">
        <v>3</v>
      </c>
      <c r="M22" s="12" t="s">
        <v>113</v>
      </c>
      <c r="N22" s="12" t="s">
        <v>128</v>
      </c>
      <c r="O22" s="11" t="str" cm="1">
        <f t="array" ref="O22">IF(OR(I22="",L22=""),"",INDEX('Estimación de Severidad'!$O$11:$O$35,MATCH(1,('Estimación de Severidad'!$L$11:$L$35=I22)*('Estimación de Severidad'!$M$11:$M$35=L22),0)))</f>
        <v>Alto</v>
      </c>
    </row>
    <row r="23" spans="2:15" x14ac:dyDescent="0.25">
      <c r="B23" s="26"/>
      <c r="C23" s="11"/>
      <c r="D23" s="11"/>
      <c r="E23" s="11"/>
      <c r="F23" s="11"/>
      <c r="G23" s="26"/>
      <c r="H23" s="11"/>
      <c r="I23" s="11"/>
      <c r="J23" s="11"/>
      <c r="K23" s="11"/>
      <c r="L23" s="11"/>
      <c r="M23" s="11"/>
      <c r="N23" s="11"/>
      <c r="O23" s="11"/>
    </row>
    <row r="24" spans="2:15" x14ac:dyDescent="0.25">
      <c r="B24" s="26"/>
      <c r="C24" s="11"/>
      <c r="D24" s="11"/>
      <c r="E24" s="11"/>
      <c r="F24" s="11"/>
      <c r="G24" s="26"/>
      <c r="H24" s="11"/>
      <c r="I24" s="11"/>
      <c r="J24" s="11"/>
      <c r="K24" s="11"/>
      <c r="L24" s="11"/>
      <c r="M24" s="11"/>
      <c r="N24" s="11"/>
      <c r="O24" s="11"/>
    </row>
    <row r="25" spans="2:15" x14ac:dyDescent="0.25">
      <c r="B25" s="26"/>
      <c r="C25" s="11"/>
      <c r="D25" s="11"/>
      <c r="E25" s="11"/>
      <c r="F25" s="11"/>
      <c r="G25" s="26"/>
      <c r="H25" s="11"/>
      <c r="I25" s="11"/>
      <c r="J25" s="11"/>
      <c r="K25" s="11"/>
      <c r="L25" s="11"/>
      <c r="M25" s="11"/>
      <c r="N25" s="11"/>
      <c r="O25" s="11"/>
    </row>
    <row r="26" spans="2:15" x14ac:dyDescent="0.25">
      <c r="B26" s="26"/>
      <c r="C26" s="11"/>
      <c r="D26" s="11"/>
      <c r="E26" s="11"/>
      <c r="F26" s="11"/>
      <c r="G26" s="26"/>
      <c r="H26" s="11"/>
      <c r="I26" s="11"/>
      <c r="J26" s="11"/>
      <c r="K26" s="11"/>
      <c r="L26" s="11"/>
      <c r="M26" s="11"/>
      <c r="N26" s="11"/>
      <c r="O26" s="11"/>
    </row>
    <row r="27" spans="2:15" ht="15" customHeight="1" x14ac:dyDescent="0.25">
      <c r="B27" s="25" t="s">
        <v>142</v>
      </c>
      <c r="C27" s="11" t="s">
        <v>59</v>
      </c>
      <c r="D27" s="12" t="s">
        <v>18</v>
      </c>
      <c r="E27" s="12" t="s">
        <v>19</v>
      </c>
      <c r="F27" s="12" t="s">
        <v>60</v>
      </c>
      <c r="G27" s="26" t="s">
        <v>63</v>
      </c>
      <c r="H27" s="12" t="s">
        <v>62</v>
      </c>
      <c r="I27" s="11">
        <v>3</v>
      </c>
      <c r="J27" s="11" t="str">
        <f>IF(I27="","",IF(I27=1,"Muy improbable",IF(I27=2,"Improbable",IF(I27=3,"Moderado",IF(I27=4,"Probable",IF(I27=5,"Casi certeza",""))))))</f>
        <v>Moderado</v>
      </c>
      <c r="K27" s="12" t="s">
        <v>99</v>
      </c>
      <c r="L27" s="11">
        <v>3</v>
      </c>
      <c r="M27" s="12" t="s">
        <v>114</v>
      </c>
      <c r="N27" s="12" t="s">
        <v>129</v>
      </c>
      <c r="O27" s="11" t="str" cm="1">
        <f t="array" ref="O27">IF(OR(I27="",L27=""),"",INDEX('Estimación de Severidad'!$O$11:$O$35,MATCH(1,('Estimación de Severidad'!$L$11:$L$35=I27)*('Estimación de Severidad'!$M$11:$M$35=L27),0)))</f>
        <v>Alto</v>
      </c>
    </row>
    <row r="28" spans="2:15" ht="15" customHeight="1" x14ac:dyDescent="0.25">
      <c r="B28" s="26"/>
      <c r="C28" s="11"/>
      <c r="D28" s="11"/>
      <c r="E28" s="11"/>
      <c r="F28" s="11"/>
      <c r="G28" s="26"/>
      <c r="H28" s="11"/>
      <c r="I28" s="11"/>
      <c r="J28" s="11"/>
      <c r="K28" s="11"/>
      <c r="L28" s="11"/>
      <c r="M28" s="11"/>
      <c r="N28" s="11"/>
      <c r="O28" s="11"/>
    </row>
    <row r="29" spans="2:15" ht="15" customHeight="1" x14ac:dyDescent="0.25">
      <c r="B29" s="26"/>
      <c r="C29" s="11"/>
      <c r="D29" s="11"/>
      <c r="E29" s="11"/>
      <c r="F29" s="11"/>
      <c r="G29" s="26"/>
      <c r="H29" s="11"/>
      <c r="I29" s="11"/>
      <c r="J29" s="11"/>
      <c r="K29" s="11"/>
      <c r="L29" s="11"/>
      <c r="M29" s="11"/>
      <c r="N29" s="11"/>
      <c r="O29" s="11"/>
    </row>
    <row r="30" spans="2:15" ht="15" customHeight="1" x14ac:dyDescent="0.25">
      <c r="B30" s="26"/>
      <c r="C30" s="11"/>
      <c r="D30" s="11"/>
      <c r="E30" s="11"/>
      <c r="F30" s="11"/>
      <c r="G30" s="26"/>
      <c r="H30" s="11"/>
      <c r="I30" s="11"/>
      <c r="J30" s="11"/>
      <c r="K30" s="11"/>
      <c r="L30" s="11"/>
      <c r="M30" s="11"/>
      <c r="N30" s="11"/>
      <c r="O30" s="11"/>
    </row>
    <row r="31" spans="2:15" ht="15" customHeight="1" x14ac:dyDescent="0.25">
      <c r="B31" s="26"/>
      <c r="C31" s="11"/>
      <c r="D31" s="11"/>
      <c r="E31" s="11"/>
      <c r="F31" s="11"/>
      <c r="G31" s="26"/>
      <c r="H31" s="11"/>
      <c r="I31" s="11"/>
      <c r="J31" s="11"/>
      <c r="K31" s="11"/>
      <c r="L31" s="11"/>
      <c r="M31" s="11"/>
      <c r="N31" s="11"/>
      <c r="O31" s="11"/>
    </row>
    <row r="32" spans="2:15" ht="15" customHeight="1" x14ac:dyDescent="0.25">
      <c r="B32" s="25" t="s">
        <v>143</v>
      </c>
      <c r="C32" s="11" t="s">
        <v>59</v>
      </c>
      <c r="D32" s="12" t="s">
        <v>18</v>
      </c>
      <c r="E32" s="12" t="s">
        <v>19</v>
      </c>
      <c r="F32" s="12" t="s">
        <v>60</v>
      </c>
      <c r="G32" s="26" t="s">
        <v>64</v>
      </c>
      <c r="H32" s="12" t="s">
        <v>62</v>
      </c>
      <c r="I32" s="11">
        <v>4</v>
      </c>
      <c r="J32" s="11" t="str">
        <f>IF(I32="","",IF(I32=1,"Muy improbable",IF(I32=2,"Improbable",IF(I32=3,"Moderado",IF(I32=4,"Probable",IF(I32=5,"Casi certeza",""))))))</f>
        <v>Probable</v>
      </c>
      <c r="K32" s="12" t="s">
        <v>100</v>
      </c>
      <c r="L32" s="11">
        <v>3</v>
      </c>
      <c r="M32" s="12" t="s">
        <v>115</v>
      </c>
      <c r="N32" s="12" t="s">
        <v>130</v>
      </c>
      <c r="O32" s="11" t="str" cm="1">
        <f t="array" ref="O32">IF(OR(I32="",L32=""),"",INDEX('Estimación de Severidad'!$O$11:$O$35,MATCH(1,('Estimación de Severidad'!$L$11:$L$35=I32)*('Estimación de Severidad'!$M$11:$M$35=L32),0)))</f>
        <v>Alto</v>
      </c>
    </row>
    <row r="33" spans="2:15" ht="15" customHeight="1" x14ac:dyDescent="0.25">
      <c r="B33" s="26"/>
      <c r="C33" s="11"/>
      <c r="D33" s="11"/>
      <c r="E33" s="11"/>
      <c r="F33" s="11"/>
      <c r="G33" s="26"/>
      <c r="H33" s="11"/>
      <c r="I33" s="11"/>
      <c r="J33" s="11"/>
      <c r="K33" s="11"/>
      <c r="L33" s="11"/>
      <c r="M33" s="11"/>
      <c r="N33" s="11"/>
      <c r="O33" s="11"/>
    </row>
    <row r="34" spans="2:15" ht="15" customHeight="1" x14ac:dyDescent="0.25">
      <c r="B34" s="26"/>
      <c r="C34" s="11"/>
      <c r="D34" s="11"/>
      <c r="E34" s="11"/>
      <c r="F34" s="11"/>
      <c r="G34" s="26"/>
      <c r="H34" s="11"/>
      <c r="I34" s="11"/>
      <c r="J34" s="11"/>
      <c r="K34" s="11"/>
      <c r="L34" s="11"/>
      <c r="M34" s="11"/>
      <c r="N34" s="11"/>
      <c r="O34" s="11"/>
    </row>
    <row r="35" spans="2:15" ht="15" customHeight="1" x14ac:dyDescent="0.25">
      <c r="B35" s="26"/>
      <c r="C35" s="11"/>
      <c r="D35" s="11"/>
      <c r="E35" s="11"/>
      <c r="F35" s="11"/>
      <c r="G35" s="26"/>
      <c r="H35" s="11"/>
      <c r="I35" s="11"/>
      <c r="J35" s="11"/>
      <c r="K35" s="11"/>
      <c r="L35" s="11"/>
      <c r="M35" s="11"/>
      <c r="N35" s="11"/>
      <c r="O35" s="11"/>
    </row>
    <row r="36" spans="2:15" ht="15" customHeight="1" x14ac:dyDescent="0.25">
      <c r="B36" s="26"/>
      <c r="C36" s="11"/>
      <c r="D36" s="11"/>
      <c r="E36" s="11"/>
      <c r="F36" s="11"/>
      <c r="G36" s="26"/>
      <c r="H36" s="11"/>
      <c r="I36" s="11"/>
      <c r="J36" s="11"/>
      <c r="K36" s="11"/>
      <c r="L36" s="11"/>
      <c r="M36" s="11"/>
      <c r="N36" s="11"/>
      <c r="O36" s="11"/>
    </row>
    <row r="37" spans="2:15" ht="15" customHeight="1" x14ac:dyDescent="0.25">
      <c r="B37" s="27" t="s">
        <v>66</v>
      </c>
      <c r="C37" s="12" t="s">
        <v>80</v>
      </c>
      <c r="D37" s="12" t="s">
        <v>65</v>
      </c>
      <c r="E37" s="12" t="s">
        <v>19</v>
      </c>
      <c r="F37" s="12" t="s">
        <v>84</v>
      </c>
      <c r="G37" s="27" t="s">
        <v>67</v>
      </c>
      <c r="H37" s="12" t="s">
        <v>81</v>
      </c>
      <c r="I37" s="11">
        <v>3</v>
      </c>
      <c r="J37" s="11" t="str">
        <f>IF(I37="","",IF(I37=1,"Muy improbable",IF(I37=2,"Improbable",IF(I37=3,"Moderado",IF(I37=4,"Probable",IF(I37=5,"Casi certeza",""))))))</f>
        <v>Moderado</v>
      </c>
      <c r="K37" s="12" t="s">
        <v>101</v>
      </c>
      <c r="L37" s="11">
        <v>4</v>
      </c>
      <c r="M37" s="12" t="s">
        <v>116</v>
      </c>
      <c r="N37" s="12" t="s">
        <v>131</v>
      </c>
      <c r="O37" s="11" t="str" cm="1">
        <f t="array" ref="O37">IF(OR(I37="",L37=""),"",INDEX('Estimación de Severidad'!$O$11:$O$35,MATCH(1,('Estimación de Severidad'!$L$11:$L$35=I37)*('Estimación de Severidad'!$M$11:$M$35=L37),0)))</f>
        <v>Extremo</v>
      </c>
    </row>
    <row r="38" spans="2:15" ht="15" customHeight="1" x14ac:dyDescent="0.25">
      <c r="B38" s="27"/>
      <c r="C38" s="11"/>
      <c r="D38" s="11"/>
      <c r="E38" s="11"/>
      <c r="F38" s="11"/>
      <c r="G38" s="27"/>
      <c r="H38" s="11"/>
      <c r="I38" s="11"/>
      <c r="J38" s="11"/>
      <c r="K38" s="11"/>
      <c r="L38" s="11"/>
      <c r="M38" s="11"/>
      <c r="N38" s="11"/>
      <c r="O38" s="11"/>
    </row>
    <row r="39" spans="2:15" ht="15" customHeight="1" x14ac:dyDescent="0.25">
      <c r="B39" s="27"/>
      <c r="C39" s="11"/>
      <c r="D39" s="11"/>
      <c r="E39" s="11"/>
      <c r="F39" s="11"/>
      <c r="G39" s="27"/>
      <c r="H39" s="11"/>
      <c r="I39" s="11"/>
      <c r="J39" s="11"/>
      <c r="K39" s="11"/>
      <c r="L39" s="11"/>
      <c r="M39" s="11"/>
      <c r="N39" s="11"/>
      <c r="O39" s="11"/>
    </row>
    <row r="40" spans="2:15" ht="15" customHeight="1" x14ac:dyDescent="0.25">
      <c r="B40" s="27"/>
      <c r="C40" s="11"/>
      <c r="D40" s="11"/>
      <c r="E40" s="11"/>
      <c r="F40" s="11"/>
      <c r="G40" s="27"/>
      <c r="H40" s="11"/>
      <c r="I40" s="11"/>
      <c r="J40" s="11"/>
      <c r="K40" s="11"/>
      <c r="L40" s="11"/>
      <c r="M40" s="11"/>
      <c r="N40" s="11"/>
      <c r="O40" s="11"/>
    </row>
    <row r="41" spans="2:15" ht="15" customHeight="1" x14ac:dyDescent="0.25">
      <c r="B41" s="27"/>
      <c r="C41" s="11"/>
      <c r="D41" s="11"/>
      <c r="E41" s="11"/>
      <c r="F41" s="11"/>
      <c r="G41" s="27"/>
      <c r="H41" s="11"/>
      <c r="I41" s="11"/>
      <c r="J41" s="11"/>
      <c r="K41" s="11"/>
      <c r="L41" s="11"/>
      <c r="M41" s="11"/>
      <c r="N41" s="11"/>
      <c r="O41" s="11"/>
    </row>
    <row r="42" spans="2:15" ht="15" customHeight="1" x14ac:dyDescent="0.25">
      <c r="B42" s="27" t="s">
        <v>66</v>
      </c>
      <c r="C42" s="12" t="s">
        <v>80</v>
      </c>
      <c r="D42" s="12" t="s">
        <v>65</v>
      </c>
      <c r="E42" s="12" t="s">
        <v>68</v>
      </c>
      <c r="F42" s="12" t="s">
        <v>84</v>
      </c>
      <c r="G42" s="27" t="s">
        <v>69</v>
      </c>
      <c r="H42" s="12" t="s">
        <v>81</v>
      </c>
      <c r="I42" s="11">
        <v>3</v>
      </c>
      <c r="J42" s="11" t="str">
        <f>IF(I42="","",IF(I42=1,"Muy improbable",IF(I42=2,"Improbable",IF(I42=3,"Moderado",IF(I42=4,"Probable",IF(I42=5,"Casi certeza",""))))))</f>
        <v>Moderado</v>
      </c>
      <c r="K42" s="12" t="s">
        <v>102</v>
      </c>
      <c r="L42" s="11">
        <v>3</v>
      </c>
      <c r="M42" s="12" t="s">
        <v>117</v>
      </c>
      <c r="N42" s="12" t="s">
        <v>132</v>
      </c>
      <c r="O42" s="11" t="str" cm="1">
        <f t="array" ref="O42">IF(OR(I42="",L42=""),"",INDEX('Estimación de Severidad'!$O$11:$O$35,MATCH(1,('Estimación de Severidad'!$L$11:$L$35=I42)*('Estimación de Severidad'!$M$11:$M$35=L42),0)))</f>
        <v>Alto</v>
      </c>
    </row>
    <row r="43" spans="2:15" ht="15" customHeight="1" x14ac:dyDescent="0.25">
      <c r="B43" s="27"/>
      <c r="C43" s="11"/>
      <c r="D43" s="11"/>
      <c r="E43" s="11"/>
      <c r="F43" s="11"/>
      <c r="G43" s="27"/>
      <c r="H43" s="11"/>
      <c r="I43" s="11"/>
      <c r="J43" s="11"/>
      <c r="K43" s="11"/>
      <c r="L43" s="11"/>
      <c r="M43" s="11"/>
      <c r="N43" s="11"/>
      <c r="O43" s="11"/>
    </row>
    <row r="44" spans="2:15" ht="15" customHeight="1" x14ac:dyDescent="0.25">
      <c r="B44" s="27"/>
      <c r="C44" s="11"/>
      <c r="D44" s="11"/>
      <c r="E44" s="11"/>
      <c r="F44" s="11"/>
      <c r="G44" s="27"/>
      <c r="H44" s="11"/>
      <c r="I44" s="11"/>
      <c r="J44" s="11"/>
      <c r="K44" s="11"/>
      <c r="L44" s="11"/>
      <c r="M44" s="11"/>
      <c r="N44" s="11"/>
      <c r="O44" s="11"/>
    </row>
    <row r="45" spans="2:15" ht="15" customHeight="1" x14ac:dyDescent="0.25">
      <c r="B45" s="27"/>
      <c r="C45" s="11"/>
      <c r="D45" s="11"/>
      <c r="E45" s="11"/>
      <c r="F45" s="11"/>
      <c r="G45" s="27"/>
      <c r="H45" s="11"/>
      <c r="I45" s="11"/>
      <c r="J45" s="11"/>
      <c r="K45" s="11"/>
      <c r="L45" s="11"/>
      <c r="M45" s="11"/>
      <c r="N45" s="11"/>
      <c r="O45" s="11"/>
    </row>
    <row r="46" spans="2:15" ht="15" customHeight="1" x14ac:dyDescent="0.25">
      <c r="B46" s="27"/>
      <c r="C46" s="11"/>
      <c r="D46" s="11"/>
      <c r="E46" s="11"/>
      <c r="F46" s="11"/>
      <c r="G46" s="27"/>
      <c r="H46" s="11"/>
      <c r="I46" s="11"/>
      <c r="J46" s="11"/>
      <c r="K46" s="11"/>
      <c r="L46" s="11"/>
      <c r="M46" s="11"/>
      <c r="N46" s="11"/>
      <c r="O46" s="11"/>
    </row>
    <row r="47" spans="2:15" ht="15" customHeight="1" x14ac:dyDescent="0.25">
      <c r="B47" s="28" t="s">
        <v>82</v>
      </c>
      <c r="C47" s="12" t="s">
        <v>83</v>
      </c>
      <c r="D47" s="11" t="s">
        <v>72</v>
      </c>
      <c r="E47" s="12" t="s">
        <v>70</v>
      </c>
      <c r="F47" s="12" t="s">
        <v>85</v>
      </c>
      <c r="G47" s="29" t="s">
        <v>71</v>
      </c>
      <c r="H47" s="12" t="s">
        <v>88</v>
      </c>
      <c r="I47" s="11">
        <v>4</v>
      </c>
      <c r="J47" s="11" t="str">
        <f>IF(I47="","",IF(I47=1,"Muy improbable",IF(I47=2,"Improbable",IF(I47=3,"Moderado",IF(I47=4,"Probable",IF(I47=5,"Casi certeza",""))))))</f>
        <v>Probable</v>
      </c>
      <c r="K47" s="12" t="s">
        <v>103</v>
      </c>
      <c r="L47" s="11">
        <v>2</v>
      </c>
      <c r="M47" s="12" t="s">
        <v>118</v>
      </c>
      <c r="N47" s="12" t="s">
        <v>133</v>
      </c>
      <c r="O47" s="11" t="str" cm="1">
        <f t="array" ref="O47">IF(OR(I47="",L47=""),"",INDEX('Estimación de Severidad'!$O$11:$O$35,MATCH(1,('Estimación de Severidad'!$L$11:$L$35=I47)*('Estimación de Severidad'!$M$11:$M$35=L47),0)))</f>
        <v>Alto</v>
      </c>
    </row>
    <row r="48" spans="2:15" ht="15" customHeight="1" x14ac:dyDescent="0.25">
      <c r="B48" s="29"/>
      <c r="C48" s="11"/>
      <c r="D48" s="11"/>
      <c r="E48" s="11"/>
      <c r="F48" s="11"/>
      <c r="G48" s="29"/>
      <c r="H48" s="11"/>
      <c r="I48" s="11"/>
      <c r="J48" s="11"/>
      <c r="K48" s="11"/>
      <c r="L48" s="11"/>
      <c r="M48" s="11"/>
      <c r="N48" s="11"/>
      <c r="O48" s="11"/>
    </row>
    <row r="49" spans="2:15" ht="15" customHeight="1" x14ac:dyDescent="0.25">
      <c r="B49" s="29"/>
      <c r="C49" s="11"/>
      <c r="D49" s="11"/>
      <c r="E49" s="11"/>
      <c r="F49" s="11"/>
      <c r="G49" s="29"/>
      <c r="H49" s="11"/>
      <c r="I49" s="11"/>
      <c r="J49" s="11"/>
      <c r="K49" s="11"/>
      <c r="L49" s="11"/>
      <c r="M49" s="11"/>
      <c r="N49" s="11"/>
      <c r="O49" s="11"/>
    </row>
    <row r="50" spans="2:15" ht="15" customHeight="1" x14ac:dyDescent="0.25">
      <c r="B50" s="29"/>
      <c r="C50" s="11"/>
      <c r="D50" s="11"/>
      <c r="E50" s="11"/>
      <c r="F50" s="11"/>
      <c r="G50" s="29"/>
      <c r="H50" s="11"/>
      <c r="I50" s="11"/>
      <c r="J50" s="11"/>
      <c r="K50" s="11"/>
      <c r="L50" s="11"/>
      <c r="M50" s="11"/>
      <c r="N50" s="11"/>
      <c r="O50" s="11"/>
    </row>
    <row r="51" spans="2:15" ht="15" customHeight="1" x14ac:dyDescent="0.25">
      <c r="B51" s="29"/>
      <c r="C51" s="11"/>
      <c r="D51" s="11"/>
      <c r="E51" s="11"/>
      <c r="F51" s="11"/>
      <c r="G51" s="29"/>
      <c r="H51" s="11"/>
      <c r="I51" s="11"/>
      <c r="J51" s="11"/>
      <c r="K51" s="11"/>
      <c r="L51" s="11"/>
      <c r="M51" s="11"/>
      <c r="N51" s="11"/>
      <c r="O51" s="11"/>
    </row>
    <row r="52" spans="2:15" ht="15" customHeight="1" x14ac:dyDescent="0.25">
      <c r="B52" s="28" t="s">
        <v>82</v>
      </c>
      <c r="C52" s="12" t="s">
        <v>83</v>
      </c>
      <c r="D52" s="11" t="s">
        <v>72</v>
      </c>
      <c r="E52" s="12" t="s">
        <v>70</v>
      </c>
      <c r="F52" s="12" t="s">
        <v>85</v>
      </c>
      <c r="G52" s="29" t="s">
        <v>73</v>
      </c>
      <c r="H52" s="12" t="s">
        <v>89</v>
      </c>
      <c r="I52" s="11">
        <v>3</v>
      </c>
      <c r="J52" s="11" t="str">
        <f>IF(I52="","",IF(I52=1,"Muy improbable",IF(I52=2,"Improbable",IF(I52=3,"Moderado",IF(I52=4,"Probable",IF(I52=5,"Casi certeza",""))))))</f>
        <v>Moderado</v>
      </c>
      <c r="K52" s="12" t="s">
        <v>104</v>
      </c>
      <c r="L52" s="11">
        <v>4</v>
      </c>
      <c r="M52" s="12" t="s">
        <v>119</v>
      </c>
      <c r="N52" s="12" t="s">
        <v>134</v>
      </c>
      <c r="O52" s="11" t="str" cm="1">
        <f t="array" ref="O52">IF(OR(I52="",L52=""),"",INDEX('Estimación de Severidad'!$O$11:$O$35,MATCH(1,('Estimación de Severidad'!$L$11:$L$35=I52)*('Estimación de Severidad'!$M$11:$M$35=L52),0)))</f>
        <v>Extremo</v>
      </c>
    </row>
    <row r="53" spans="2:15" ht="15" customHeight="1" x14ac:dyDescent="0.25">
      <c r="B53" s="29"/>
      <c r="C53" s="11"/>
      <c r="D53" s="11"/>
      <c r="E53" s="11"/>
      <c r="F53" s="11"/>
      <c r="G53" s="29"/>
      <c r="H53" s="11"/>
      <c r="I53" s="11"/>
      <c r="J53" s="11"/>
      <c r="K53" s="11"/>
      <c r="L53" s="11"/>
      <c r="M53" s="11"/>
      <c r="N53" s="11"/>
      <c r="O53" s="11"/>
    </row>
    <row r="54" spans="2:15" ht="15" customHeight="1" x14ac:dyDescent="0.25">
      <c r="B54" s="29"/>
      <c r="C54" s="11"/>
      <c r="D54" s="11"/>
      <c r="E54" s="11"/>
      <c r="F54" s="11"/>
      <c r="G54" s="29"/>
      <c r="H54" s="11"/>
      <c r="I54" s="11"/>
      <c r="J54" s="11"/>
      <c r="K54" s="11"/>
      <c r="L54" s="11"/>
      <c r="M54" s="11"/>
      <c r="N54" s="11"/>
      <c r="O54" s="11"/>
    </row>
    <row r="55" spans="2:15" ht="15" customHeight="1" x14ac:dyDescent="0.25">
      <c r="B55" s="29"/>
      <c r="C55" s="11"/>
      <c r="D55" s="11"/>
      <c r="E55" s="11"/>
      <c r="F55" s="11"/>
      <c r="G55" s="29"/>
      <c r="H55" s="11"/>
      <c r="I55" s="11"/>
      <c r="J55" s="11"/>
      <c r="K55" s="11"/>
      <c r="L55" s="11"/>
      <c r="M55" s="11"/>
      <c r="N55" s="11"/>
      <c r="O55" s="11"/>
    </row>
    <row r="56" spans="2:15" ht="15" customHeight="1" x14ac:dyDescent="0.25">
      <c r="B56" s="29"/>
      <c r="C56" s="11"/>
      <c r="D56" s="11"/>
      <c r="E56" s="11"/>
      <c r="F56" s="11"/>
      <c r="G56" s="29"/>
      <c r="H56" s="11"/>
      <c r="I56" s="11"/>
      <c r="J56" s="11"/>
      <c r="K56" s="11"/>
      <c r="L56" s="11"/>
      <c r="M56" s="11"/>
      <c r="N56" s="11"/>
      <c r="O56" s="11"/>
    </row>
    <row r="57" spans="2:15" ht="15" customHeight="1" x14ac:dyDescent="0.25">
      <c r="B57" s="28" t="s">
        <v>82</v>
      </c>
      <c r="C57" s="12" t="s">
        <v>83</v>
      </c>
      <c r="D57" s="11" t="s">
        <v>72</v>
      </c>
      <c r="E57" s="12" t="s">
        <v>70</v>
      </c>
      <c r="F57" s="12" t="s">
        <v>85</v>
      </c>
      <c r="G57" s="29" t="s">
        <v>74</v>
      </c>
      <c r="H57" s="12" t="s">
        <v>90</v>
      </c>
      <c r="I57" s="11">
        <v>3</v>
      </c>
      <c r="J57" s="11" t="str">
        <f>IF(I57="","",IF(I57=1,"Muy improbable",IF(I57=2,"Improbable",IF(I57=3,"Moderado",IF(I57=4,"Probable",IF(I57=5,"Casi certeza",""))))))</f>
        <v>Moderado</v>
      </c>
      <c r="K57" s="12" t="s">
        <v>105</v>
      </c>
      <c r="L57" s="11">
        <v>2</v>
      </c>
      <c r="M57" s="12" t="s">
        <v>120</v>
      </c>
      <c r="N57" s="12" t="s">
        <v>135</v>
      </c>
      <c r="O57" s="11" t="str" cm="1">
        <f t="array" ref="O57">IF(OR(I57="",L57=""),"",INDEX('Estimación de Severidad'!$O$11:$O$35,MATCH(1,('Estimación de Severidad'!$L$11:$L$35=I57)*('Estimación de Severidad'!$M$11:$M$35=L57),0)))</f>
        <v>Moderado</v>
      </c>
    </row>
    <row r="58" spans="2:15" ht="15" customHeight="1" x14ac:dyDescent="0.25">
      <c r="B58" s="29"/>
      <c r="C58" s="11"/>
      <c r="D58" s="11"/>
      <c r="E58" s="11"/>
      <c r="F58" s="11"/>
      <c r="G58" s="29"/>
      <c r="H58" s="11"/>
      <c r="I58" s="11"/>
      <c r="J58" s="11"/>
      <c r="K58" s="11"/>
      <c r="L58" s="11"/>
      <c r="M58" s="11"/>
      <c r="N58" s="11"/>
      <c r="O58" s="11"/>
    </row>
    <row r="59" spans="2:15" ht="15" customHeight="1" x14ac:dyDescent="0.25">
      <c r="B59" s="29"/>
      <c r="C59" s="11"/>
      <c r="D59" s="11"/>
      <c r="E59" s="11"/>
      <c r="F59" s="11"/>
      <c r="G59" s="29"/>
      <c r="H59" s="11"/>
      <c r="I59" s="11"/>
      <c r="J59" s="11"/>
      <c r="K59" s="11"/>
      <c r="L59" s="11"/>
      <c r="M59" s="11"/>
      <c r="N59" s="11"/>
      <c r="O59" s="11"/>
    </row>
    <row r="60" spans="2:15" ht="15" customHeight="1" x14ac:dyDescent="0.25">
      <c r="B60" s="29"/>
      <c r="C60" s="11"/>
      <c r="D60" s="11"/>
      <c r="E60" s="11"/>
      <c r="F60" s="11"/>
      <c r="G60" s="29"/>
      <c r="H60" s="11"/>
      <c r="I60" s="11"/>
      <c r="J60" s="11"/>
      <c r="K60" s="11"/>
      <c r="L60" s="11"/>
      <c r="M60" s="11"/>
      <c r="N60" s="11"/>
      <c r="O60" s="11"/>
    </row>
    <row r="61" spans="2:15" ht="15" customHeight="1" x14ac:dyDescent="0.25">
      <c r="B61" s="29"/>
      <c r="C61" s="11"/>
      <c r="D61" s="11"/>
      <c r="E61" s="11"/>
      <c r="F61" s="11"/>
      <c r="G61" s="29"/>
      <c r="H61" s="11"/>
      <c r="I61" s="11"/>
      <c r="J61" s="11"/>
      <c r="K61" s="11"/>
      <c r="L61" s="11"/>
      <c r="M61" s="11"/>
      <c r="N61" s="11"/>
      <c r="O61" s="11"/>
    </row>
    <row r="62" spans="2:15" ht="15" customHeight="1" x14ac:dyDescent="0.25">
      <c r="B62" s="30" t="s">
        <v>75</v>
      </c>
      <c r="C62" s="12" t="s">
        <v>86</v>
      </c>
      <c r="D62" s="11" t="s">
        <v>72</v>
      </c>
      <c r="E62" s="12" t="s">
        <v>76</v>
      </c>
      <c r="F62" s="12" t="s">
        <v>87</v>
      </c>
      <c r="G62" s="30" t="s">
        <v>77</v>
      </c>
      <c r="H62" s="12" t="s">
        <v>91</v>
      </c>
      <c r="I62" s="11">
        <v>5</v>
      </c>
      <c r="J62" s="11" t="str">
        <f>IF(I62="","",IF(I62=1,"Muy improbable",IF(I62=2,"Improbable",IF(I62=3,"Moderado",IF(I62=4,"Probable",IF(I62=5,"Casi certeza",""))))))</f>
        <v>Casi certeza</v>
      </c>
      <c r="K62" s="12" t="s">
        <v>106</v>
      </c>
      <c r="L62" s="11">
        <v>3</v>
      </c>
      <c r="M62" s="12" t="s">
        <v>121</v>
      </c>
      <c r="N62" s="12" t="s">
        <v>136</v>
      </c>
      <c r="O62" s="11" t="str" cm="1">
        <f t="array" ref="O62">IF(OR(I62="",L62=""),"",INDEX('Estimación de Severidad'!$O$11:$O$35,MATCH(1,('Estimación de Severidad'!$L$11:$L$35=I62)*('Estimación de Severidad'!$M$11:$M$35=L62),0)))</f>
        <v>Extremo</v>
      </c>
    </row>
    <row r="63" spans="2:15" ht="15" customHeight="1" x14ac:dyDescent="0.25">
      <c r="B63" s="30"/>
      <c r="C63" s="11"/>
      <c r="D63" s="11"/>
      <c r="E63" s="11"/>
      <c r="F63" s="11"/>
      <c r="G63" s="30"/>
      <c r="H63" s="11"/>
      <c r="I63" s="11"/>
      <c r="J63" s="11"/>
      <c r="K63" s="11"/>
      <c r="L63" s="11"/>
      <c r="M63" s="11"/>
      <c r="N63" s="11"/>
      <c r="O63" s="11"/>
    </row>
    <row r="64" spans="2:15" ht="15" customHeight="1" x14ac:dyDescent="0.25">
      <c r="B64" s="30"/>
      <c r="C64" s="11"/>
      <c r="D64" s="11"/>
      <c r="E64" s="11"/>
      <c r="F64" s="11"/>
      <c r="G64" s="30"/>
      <c r="H64" s="11"/>
      <c r="I64" s="11"/>
      <c r="J64" s="11"/>
      <c r="K64" s="11"/>
      <c r="L64" s="11"/>
      <c r="M64" s="11"/>
      <c r="N64" s="11"/>
      <c r="O64" s="11"/>
    </row>
    <row r="65" spans="2:15" ht="15" customHeight="1" x14ac:dyDescent="0.25">
      <c r="B65" s="30"/>
      <c r="C65" s="11"/>
      <c r="D65" s="11"/>
      <c r="E65" s="11"/>
      <c r="F65" s="11"/>
      <c r="G65" s="30"/>
      <c r="H65" s="11"/>
      <c r="I65" s="11"/>
      <c r="J65" s="11"/>
      <c r="K65" s="11"/>
      <c r="L65" s="11"/>
      <c r="M65" s="11"/>
      <c r="N65" s="11"/>
      <c r="O65" s="11"/>
    </row>
    <row r="66" spans="2:15" ht="15" customHeight="1" x14ac:dyDescent="0.25">
      <c r="B66" s="30"/>
      <c r="C66" s="11"/>
      <c r="D66" s="11"/>
      <c r="E66" s="11"/>
      <c r="F66" s="11"/>
      <c r="G66" s="30"/>
      <c r="H66" s="11"/>
      <c r="I66" s="11"/>
      <c r="J66" s="11"/>
      <c r="K66" s="11"/>
      <c r="L66" s="11"/>
      <c r="M66" s="11"/>
      <c r="N66" s="11"/>
      <c r="O66" s="11"/>
    </row>
    <row r="67" spans="2:15" ht="15" customHeight="1" x14ac:dyDescent="0.25">
      <c r="B67" s="30" t="s">
        <v>75</v>
      </c>
      <c r="C67" s="12" t="s">
        <v>86</v>
      </c>
      <c r="D67" s="11" t="s">
        <v>72</v>
      </c>
      <c r="E67" s="12" t="s">
        <v>76</v>
      </c>
      <c r="F67" s="12" t="s">
        <v>87</v>
      </c>
      <c r="G67" s="30" t="s">
        <v>78</v>
      </c>
      <c r="H67" s="12" t="s">
        <v>92</v>
      </c>
      <c r="I67" s="11">
        <v>4</v>
      </c>
      <c r="J67" s="11" t="str">
        <f>IF(I67="","",IF(I67=1,"Muy improbable",IF(I67=2,"Improbable",IF(I67=3,"Moderado",IF(I67=4,"Probable",IF(I67=5,"Casi certeza",""))))))</f>
        <v>Probable</v>
      </c>
      <c r="K67" s="12" t="s">
        <v>107</v>
      </c>
      <c r="L67" s="11">
        <v>2</v>
      </c>
      <c r="M67" s="12" t="s">
        <v>122</v>
      </c>
      <c r="N67" s="12" t="s">
        <v>137</v>
      </c>
      <c r="O67" s="11" t="str" cm="1">
        <f t="array" ref="O67">IF(OR(I67="",L67=""),"",INDEX('Estimación de Severidad'!$O$11:$O$35,MATCH(1,('Estimación de Severidad'!$L$11:$L$35=I67)*('Estimación de Severidad'!$M$11:$M$35=L67),0)))</f>
        <v>Alto</v>
      </c>
    </row>
    <row r="68" spans="2:15" ht="15" customHeight="1" x14ac:dyDescent="0.25">
      <c r="B68" s="30"/>
      <c r="C68" s="11"/>
      <c r="D68" s="11"/>
      <c r="E68" s="11"/>
      <c r="F68" s="11"/>
      <c r="G68" s="30"/>
      <c r="H68" s="11"/>
      <c r="I68" s="11"/>
      <c r="J68" s="11"/>
      <c r="K68" s="11"/>
      <c r="L68" s="11"/>
      <c r="M68" s="11"/>
      <c r="N68" s="11"/>
      <c r="O68" s="11"/>
    </row>
    <row r="69" spans="2:15" ht="15" customHeight="1" x14ac:dyDescent="0.25">
      <c r="B69" s="30"/>
      <c r="C69" s="11"/>
      <c r="D69" s="11"/>
      <c r="E69" s="11"/>
      <c r="F69" s="11"/>
      <c r="G69" s="30"/>
      <c r="H69" s="11"/>
      <c r="I69" s="11"/>
      <c r="J69" s="11"/>
      <c r="K69" s="11"/>
      <c r="L69" s="11"/>
      <c r="M69" s="11"/>
      <c r="N69" s="11"/>
      <c r="O69" s="11"/>
    </row>
    <row r="70" spans="2:15" ht="15" customHeight="1" x14ac:dyDescent="0.25">
      <c r="B70" s="30"/>
      <c r="C70" s="11"/>
      <c r="D70" s="11"/>
      <c r="E70" s="11"/>
      <c r="F70" s="11"/>
      <c r="G70" s="30"/>
      <c r="H70" s="11"/>
      <c r="I70" s="11"/>
      <c r="J70" s="11"/>
      <c r="K70" s="11"/>
      <c r="L70" s="11"/>
      <c r="M70" s="11"/>
      <c r="N70" s="11"/>
      <c r="O70" s="11"/>
    </row>
    <row r="71" spans="2:15" ht="15" customHeight="1" x14ac:dyDescent="0.25">
      <c r="B71" s="30"/>
      <c r="C71" s="11"/>
      <c r="D71" s="11"/>
      <c r="E71" s="11"/>
      <c r="F71" s="11"/>
      <c r="G71" s="30"/>
      <c r="H71" s="11"/>
      <c r="I71" s="11"/>
      <c r="J71" s="11"/>
      <c r="K71" s="11"/>
      <c r="L71" s="11"/>
      <c r="M71" s="11"/>
      <c r="N71" s="11"/>
      <c r="O71" s="11"/>
    </row>
    <row r="72" spans="2:15" ht="15" customHeight="1" x14ac:dyDescent="0.25">
      <c r="B72" s="30" t="s">
        <v>75</v>
      </c>
      <c r="C72" s="12" t="s">
        <v>86</v>
      </c>
      <c r="D72" s="11" t="s">
        <v>72</v>
      </c>
      <c r="E72" s="12" t="s">
        <v>76</v>
      </c>
      <c r="F72" s="12" t="s">
        <v>87</v>
      </c>
      <c r="G72" s="30" t="s">
        <v>63</v>
      </c>
      <c r="H72" s="12" t="s">
        <v>93</v>
      </c>
      <c r="I72" s="11">
        <v>1</v>
      </c>
      <c r="J72" s="11" t="str">
        <f>IF(I72="","",IF(I72=1,"Muy improbable",IF(I72=2,"Improbable",IF(I72=3,"Moderado",IF(I72=4,"Probable",IF(I72=5,"Casi certeza",""))))))</f>
        <v>Muy improbable</v>
      </c>
      <c r="K72" s="12" t="s">
        <v>108</v>
      </c>
      <c r="L72" s="11">
        <v>3</v>
      </c>
      <c r="M72" s="12" t="s">
        <v>123</v>
      </c>
      <c r="N72" s="12" t="s">
        <v>138</v>
      </c>
      <c r="O72" s="11" t="str" cm="1">
        <f t="array" ref="O72">IF(OR(I72="",L72=""),"",INDEX('Estimación de Severidad'!$O$11:$O$35,MATCH(1,('Estimación de Severidad'!$L$11:$L$35=I72)*('Estimación de Severidad'!$M$11:$M$35=L72),0)))</f>
        <v>Moderado</v>
      </c>
    </row>
    <row r="73" spans="2:15" ht="15" customHeight="1" x14ac:dyDescent="0.25">
      <c r="B73" s="30"/>
      <c r="C73" s="11"/>
      <c r="D73" s="11"/>
      <c r="E73" s="11"/>
      <c r="F73" s="11"/>
      <c r="G73" s="30"/>
      <c r="H73" s="11"/>
      <c r="I73" s="11"/>
      <c r="J73" s="11"/>
      <c r="K73" s="11"/>
      <c r="L73" s="11"/>
      <c r="M73" s="11"/>
      <c r="N73" s="11"/>
      <c r="O73" s="11"/>
    </row>
    <row r="74" spans="2:15" ht="15" customHeight="1" x14ac:dyDescent="0.25">
      <c r="B74" s="30"/>
      <c r="C74" s="11"/>
      <c r="D74" s="11"/>
      <c r="E74" s="11"/>
      <c r="F74" s="11"/>
      <c r="G74" s="30"/>
      <c r="H74" s="11"/>
      <c r="I74" s="11"/>
      <c r="J74" s="11"/>
      <c r="K74" s="11"/>
      <c r="L74" s="11"/>
      <c r="M74" s="11"/>
      <c r="N74" s="11"/>
      <c r="O74" s="11"/>
    </row>
    <row r="75" spans="2:15" ht="15" customHeight="1" x14ac:dyDescent="0.25">
      <c r="B75" s="30"/>
      <c r="C75" s="11"/>
      <c r="D75" s="11"/>
      <c r="E75" s="11"/>
      <c r="F75" s="11"/>
      <c r="G75" s="30"/>
      <c r="H75" s="11"/>
      <c r="I75" s="11"/>
      <c r="J75" s="11"/>
      <c r="K75" s="11"/>
      <c r="L75" s="11"/>
      <c r="M75" s="11"/>
      <c r="N75" s="11"/>
      <c r="O75" s="11"/>
    </row>
    <row r="76" spans="2:15" ht="15" customHeight="1" x14ac:dyDescent="0.25">
      <c r="B76" s="30"/>
      <c r="C76" s="11"/>
      <c r="D76" s="11"/>
      <c r="E76" s="11"/>
      <c r="F76" s="11"/>
      <c r="G76" s="30"/>
      <c r="H76" s="11"/>
      <c r="I76" s="11"/>
      <c r="J76" s="11"/>
      <c r="K76" s="11"/>
      <c r="L76" s="11"/>
      <c r="M76" s="11"/>
      <c r="N76" s="11"/>
      <c r="O76" s="11"/>
    </row>
    <row r="77" spans="2:15" ht="15" customHeight="1" x14ac:dyDescent="0.25">
      <c r="B77" s="30" t="s">
        <v>75</v>
      </c>
      <c r="C77" s="12" t="s">
        <v>86</v>
      </c>
      <c r="D77" s="11" t="s">
        <v>72</v>
      </c>
      <c r="E77" s="12" t="s">
        <v>76</v>
      </c>
      <c r="F77" s="12" t="s">
        <v>87</v>
      </c>
      <c r="G77" s="30" t="s">
        <v>79</v>
      </c>
      <c r="H77" s="12" t="s">
        <v>94</v>
      </c>
      <c r="I77" s="11">
        <v>3</v>
      </c>
      <c r="J77" s="11" t="str">
        <f>IF(I77="","",IF(I77=1,"Muy improbable",IF(I77=2,"Improbable",IF(I77=3,"Moderado",IF(I77=4,"Probable",IF(I77=5,"Casi certeza",""))))))</f>
        <v>Moderado</v>
      </c>
      <c r="K77" s="12" t="s">
        <v>109</v>
      </c>
      <c r="L77" s="11">
        <v>5</v>
      </c>
      <c r="M77" s="12" t="s">
        <v>124</v>
      </c>
      <c r="N77" s="12" t="s">
        <v>139</v>
      </c>
      <c r="O77" s="11" t="str" cm="1">
        <f t="array" ref="O77">IF(OR(I77="",L77=""),"",INDEX('Estimación de Severidad'!$O$11:$O$35,MATCH(1,('Estimación de Severidad'!$L$11:$L$35=I77)*('Estimación de Severidad'!$M$11:$M$35=L77),0)))</f>
        <v>Extremo</v>
      </c>
    </row>
    <row r="78" spans="2:15" ht="15" customHeight="1" x14ac:dyDescent="0.25">
      <c r="B78" s="30"/>
      <c r="C78" s="11"/>
      <c r="D78" s="11"/>
      <c r="E78" s="11"/>
      <c r="F78" s="11"/>
      <c r="G78" s="30"/>
      <c r="H78" s="11"/>
      <c r="I78" s="11"/>
      <c r="J78" s="11"/>
      <c r="K78" s="11"/>
      <c r="L78" s="11"/>
      <c r="M78" s="11"/>
      <c r="N78" s="11"/>
      <c r="O78" s="11"/>
    </row>
    <row r="79" spans="2:15" ht="15" customHeight="1" x14ac:dyDescent="0.25">
      <c r="B79" s="30"/>
      <c r="C79" s="11"/>
      <c r="D79" s="11"/>
      <c r="E79" s="11"/>
      <c r="F79" s="11"/>
      <c r="G79" s="30"/>
      <c r="H79" s="11"/>
      <c r="I79" s="11"/>
      <c r="J79" s="11"/>
      <c r="K79" s="11"/>
      <c r="L79" s="11"/>
      <c r="M79" s="11"/>
      <c r="N79" s="11"/>
      <c r="O79" s="11"/>
    </row>
    <row r="80" spans="2:15" ht="15" customHeight="1" x14ac:dyDescent="0.25">
      <c r="B80" s="30"/>
      <c r="C80" s="11"/>
      <c r="D80" s="11"/>
      <c r="E80" s="11"/>
      <c r="F80" s="11"/>
      <c r="G80" s="30"/>
      <c r="H80" s="11"/>
      <c r="I80" s="11"/>
      <c r="J80" s="11"/>
      <c r="K80" s="11"/>
      <c r="L80" s="11"/>
      <c r="M80" s="11"/>
      <c r="N80" s="11"/>
      <c r="O80" s="11"/>
    </row>
    <row r="81" spans="2:15" ht="15" customHeight="1" x14ac:dyDescent="0.25">
      <c r="B81" s="30"/>
      <c r="C81" s="11"/>
      <c r="D81" s="11"/>
      <c r="E81" s="11"/>
      <c r="F81" s="11"/>
      <c r="G81" s="30"/>
      <c r="H81" s="11"/>
      <c r="I81" s="11"/>
      <c r="J81" s="11"/>
      <c r="K81" s="11"/>
      <c r="L81" s="11"/>
      <c r="M81" s="11"/>
      <c r="N81" s="11"/>
      <c r="O81" s="11"/>
    </row>
  </sheetData>
  <mergeCells count="226">
    <mergeCell ref="N77:N81"/>
    <mergeCell ref="O77:O81"/>
    <mergeCell ref="L72:L76"/>
    <mergeCell ref="M72:M76"/>
    <mergeCell ref="N72:N76"/>
    <mergeCell ref="O72:O76"/>
    <mergeCell ref="B77:B81"/>
    <mergeCell ref="C77:C81"/>
    <mergeCell ref="D77:D81"/>
    <mergeCell ref="E77:E81"/>
    <mergeCell ref="F77:F81"/>
    <mergeCell ref="G77:G81"/>
    <mergeCell ref="H77:H81"/>
    <mergeCell ref="I77:I81"/>
    <mergeCell ref="J77:J81"/>
    <mergeCell ref="K77:K81"/>
    <mergeCell ref="L77:L81"/>
    <mergeCell ref="M77:M81"/>
    <mergeCell ref="G72:G76"/>
    <mergeCell ref="H72:H76"/>
    <mergeCell ref="I72:I76"/>
    <mergeCell ref="J72:J76"/>
    <mergeCell ref="K72:K76"/>
    <mergeCell ref="B72:B76"/>
    <mergeCell ref="C72:C76"/>
    <mergeCell ref="D72:D76"/>
    <mergeCell ref="E72:E76"/>
    <mergeCell ref="F72:F76"/>
    <mergeCell ref="N62:N66"/>
    <mergeCell ref="O62:O66"/>
    <mergeCell ref="B67:B71"/>
    <mergeCell ref="C67:C71"/>
    <mergeCell ref="D67:D71"/>
    <mergeCell ref="E67:E71"/>
    <mergeCell ref="F67:F71"/>
    <mergeCell ref="G67:G71"/>
    <mergeCell ref="H67:H71"/>
    <mergeCell ref="I67:I71"/>
    <mergeCell ref="J67:J71"/>
    <mergeCell ref="K67:K71"/>
    <mergeCell ref="L67:L71"/>
    <mergeCell ref="M67:M71"/>
    <mergeCell ref="N67:N71"/>
    <mergeCell ref="O67:O71"/>
    <mergeCell ref="K62:K66"/>
    <mergeCell ref="L62:L66"/>
    <mergeCell ref="M62:M66"/>
    <mergeCell ref="B62:B66"/>
    <mergeCell ref="C62:C66"/>
    <mergeCell ref="D62:D66"/>
    <mergeCell ref="E62:E66"/>
    <mergeCell ref="F62:F66"/>
    <mergeCell ref="G62:G66"/>
    <mergeCell ref="H62:H66"/>
    <mergeCell ref="I62:I66"/>
    <mergeCell ref="J62:J66"/>
    <mergeCell ref="N52:N56"/>
    <mergeCell ref="O52:O56"/>
    <mergeCell ref="G57:G61"/>
    <mergeCell ref="H57:H61"/>
    <mergeCell ref="I57:I61"/>
    <mergeCell ref="J57:J61"/>
    <mergeCell ref="K57:K61"/>
    <mergeCell ref="B57:B61"/>
    <mergeCell ref="C57:C61"/>
    <mergeCell ref="D57:D61"/>
    <mergeCell ref="E57:E61"/>
    <mergeCell ref="F57:F61"/>
    <mergeCell ref="B52:B56"/>
    <mergeCell ref="C52:C56"/>
    <mergeCell ref="D52:D56"/>
    <mergeCell ref="E52:E56"/>
    <mergeCell ref="F52:F56"/>
    <mergeCell ref="G52:G56"/>
    <mergeCell ref="H52:H56"/>
    <mergeCell ref="I52:I56"/>
    <mergeCell ref="J52:J56"/>
    <mergeCell ref="L57:L61"/>
    <mergeCell ref="M57:M61"/>
    <mergeCell ref="N57:N61"/>
    <mergeCell ref="O57:O61"/>
    <mergeCell ref="K47:K51"/>
    <mergeCell ref="L47:L51"/>
    <mergeCell ref="M47:M51"/>
    <mergeCell ref="G42:G46"/>
    <mergeCell ref="H42:H46"/>
    <mergeCell ref="I42:I46"/>
    <mergeCell ref="J42:J46"/>
    <mergeCell ref="K42:K46"/>
    <mergeCell ref="H47:H51"/>
    <mergeCell ref="I47:I51"/>
    <mergeCell ref="J47:J51"/>
    <mergeCell ref="L42:L46"/>
    <mergeCell ref="M42:M46"/>
    <mergeCell ref="N42:N46"/>
    <mergeCell ref="O42:O46"/>
    <mergeCell ref="N47:N51"/>
    <mergeCell ref="O47:O51"/>
    <mergeCell ref="K52:K56"/>
    <mergeCell ref="L52:L56"/>
    <mergeCell ref="M52:M56"/>
    <mergeCell ref="G37:G41"/>
    <mergeCell ref="H37:H41"/>
    <mergeCell ref="I37:I41"/>
    <mergeCell ref="J37:J41"/>
    <mergeCell ref="B42:B46"/>
    <mergeCell ref="C42:C46"/>
    <mergeCell ref="D42:D46"/>
    <mergeCell ref="B47:B51"/>
    <mergeCell ref="C47:C51"/>
    <mergeCell ref="D47:D51"/>
    <mergeCell ref="E47:E51"/>
    <mergeCell ref="F47:F51"/>
    <mergeCell ref="G47:G51"/>
    <mergeCell ref="E42:E46"/>
    <mergeCell ref="F42:F46"/>
    <mergeCell ref="B37:B41"/>
    <mergeCell ref="C37:C41"/>
    <mergeCell ref="D37:D41"/>
    <mergeCell ref="E37:E41"/>
    <mergeCell ref="O32:O36"/>
    <mergeCell ref="I32:I36"/>
    <mergeCell ref="J32:J36"/>
    <mergeCell ref="K32:K36"/>
    <mergeCell ref="L32:L36"/>
    <mergeCell ref="M32:M36"/>
    <mergeCell ref="N32:N36"/>
    <mergeCell ref="B32:B36"/>
    <mergeCell ref="C32:C36"/>
    <mergeCell ref="D32:D36"/>
    <mergeCell ref="E32:E36"/>
    <mergeCell ref="F32:F36"/>
    <mergeCell ref="G32:G36"/>
    <mergeCell ref="H32:H36"/>
    <mergeCell ref="K37:K41"/>
    <mergeCell ref="L37:L41"/>
    <mergeCell ref="M37:M41"/>
    <mergeCell ref="N37:N41"/>
    <mergeCell ref="O37:O41"/>
    <mergeCell ref="F37:F41"/>
    <mergeCell ref="G27:G31"/>
    <mergeCell ref="H27:H31"/>
    <mergeCell ref="L22:L26"/>
    <mergeCell ref="M22:M26"/>
    <mergeCell ref="N22:N26"/>
    <mergeCell ref="O22:O26"/>
    <mergeCell ref="B27:B31"/>
    <mergeCell ref="C27:C31"/>
    <mergeCell ref="D27:D31"/>
    <mergeCell ref="E27:E31"/>
    <mergeCell ref="F27:F31"/>
    <mergeCell ref="M27:M31"/>
    <mergeCell ref="N27:N31"/>
    <mergeCell ref="O27:O31"/>
    <mergeCell ref="I27:I31"/>
    <mergeCell ref="J27:J31"/>
    <mergeCell ref="K27:K31"/>
    <mergeCell ref="L27:L31"/>
    <mergeCell ref="O16:O21"/>
    <mergeCell ref="B22:B26"/>
    <mergeCell ref="C22:C26"/>
    <mergeCell ref="D22:D26"/>
    <mergeCell ref="E22:E26"/>
    <mergeCell ref="F22:F26"/>
    <mergeCell ref="G22:G26"/>
    <mergeCell ref="H22:H26"/>
    <mergeCell ref="I22:I26"/>
    <mergeCell ref="J22:J26"/>
    <mergeCell ref="I16:I21"/>
    <mergeCell ref="J16:J21"/>
    <mergeCell ref="K16:K21"/>
    <mergeCell ref="L16:L21"/>
    <mergeCell ref="M16:M21"/>
    <mergeCell ref="N16:N21"/>
    <mergeCell ref="C16:C21"/>
    <mergeCell ref="B16:B21"/>
    <mergeCell ref="D16:D21"/>
    <mergeCell ref="E16:E21"/>
    <mergeCell ref="F16:F21"/>
    <mergeCell ref="G16:G21"/>
    <mergeCell ref="H16:H21"/>
    <mergeCell ref="K22:K26"/>
    <mergeCell ref="I11:I15"/>
    <mergeCell ref="J11:J15"/>
    <mergeCell ref="K11:K15"/>
    <mergeCell ref="E5:E10"/>
    <mergeCell ref="D5:D10"/>
    <mergeCell ref="C5:C10"/>
    <mergeCell ref="B5:B10"/>
    <mergeCell ref="O11:O15"/>
    <mergeCell ref="N11:N15"/>
    <mergeCell ref="M11:M15"/>
    <mergeCell ref="L11:L15"/>
    <mergeCell ref="B11:B15"/>
    <mergeCell ref="C11:C15"/>
    <mergeCell ref="D11:D15"/>
    <mergeCell ref="E11:E15"/>
    <mergeCell ref="F11:F15"/>
    <mergeCell ref="G11:G15"/>
    <mergeCell ref="H11:H15"/>
    <mergeCell ref="O5:O10"/>
    <mergeCell ref="J5:J10"/>
    <mergeCell ref="I5:I10"/>
    <mergeCell ref="H5:H10"/>
    <mergeCell ref="F5:F10"/>
    <mergeCell ref="K5:K10"/>
    <mergeCell ref="L5:L10"/>
    <mergeCell ref="M5:M10"/>
    <mergeCell ref="B1:H2"/>
    <mergeCell ref="I1:O2"/>
    <mergeCell ref="J3:J4"/>
    <mergeCell ref="K3:K4"/>
    <mergeCell ref="L3:L4"/>
    <mergeCell ref="M3:M4"/>
    <mergeCell ref="N3:N4"/>
    <mergeCell ref="O3:O4"/>
    <mergeCell ref="B3:B4"/>
    <mergeCell ref="C3:C4"/>
    <mergeCell ref="D3:D4"/>
    <mergeCell ref="E3:E4"/>
    <mergeCell ref="N5:N10"/>
    <mergeCell ref="F3:F4"/>
    <mergeCell ref="G3:G4"/>
    <mergeCell ref="H3:H4"/>
    <mergeCell ref="I3:I4"/>
    <mergeCell ref="G5:G10"/>
  </mergeCells>
  <conditionalFormatting sqref="J5:J81">
    <cfRule type="cellIs" dxfId="19" priority="11" operator="equal">
      <formula>"Improbable"</formula>
    </cfRule>
  </conditionalFormatting>
  <conditionalFormatting sqref="J11">
    <cfRule type="cellIs" dxfId="18" priority="19" operator="equal">
      <formula>"Improbable"</formula>
    </cfRule>
  </conditionalFormatting>
  <conditionalFormatting sqref="J22:J81">
    <cfRule type="cellIs" dxfId="17" priority="13" operator="equal">
      <formula>"Probable"</formula>
    </cfRule>
  </conditionalFormatting>
  <conditionalFormatting sqref="J27:J31">
    <cfRule type="cellIs" dxfId="16" priority="10" operator="equal">
      <formula>"Moderado"</formula>
    </cfRule>
  </conditionalFormatting>
  <conditionalFormatting sqref="J37:J46">
    <cfRule type="cellIs" dxfId="15" priority="9" operator="equal">
      <formula>"Moderado"</formula>
    </cfRule>
  </conditionalFormatting>
  <conditionalFormatting sqref="J47:J51">
    <cfRule type="cellIs" dxfId="14" priority="6" operator="equal">
      <formula>"Casi certeza"</formula>
    </cfRule>
  </conditionalFormatting>
  <conditionalFormatting sqref="J52:J61">
    <cfRule type="cellIs" dxfId="13" priority="8" operator="equal">
      <formula>"Moderado"</formula>
    </cfRule>
  </conditionalFormatting>
  <conditionalFormatting sqref="J62:J66">
    <cfRule type="cellIs" dxfId="12" priority="5" operator="equal">
      <formula>"Casi certeza"</formula>
    </cfRule>
  </conditionalFormatting>
  <conditionalFormatting sqref="J77:J81">
    <cfRule type="cellIs" dxfId="11" priority="7" operator="equal">
      <formula>"Moderado"</formula>
    </cfRule>
  </conditionalFormatting>
  <conditionalFormatting sqref="O5:O10 Q16 O22:O36 O42:O51 O67:O71">
    <cfRule type="cellIs" dxfId="10" priority="2" operator="equal">
      <formula>"Alto"</formula>
    </cfRule>
  </conditionalFormatting>
  <conditionalFormatting sqref="O5:O11">
    <cfRule type="cellIs" dxfId="9" priority="18" operator="equal">
      <formula>"Moderado"</formula>
    </cfRule>
  </conditionalFormatting>
  <conditionalFormatting sqref="O11:O21">
    <cfRule type="cellIs" dxfId="8" priority="1" operator="equal">
      <formula>"Bajo"</formula>
    </cfRule>
  </conditionalFormatting>
  <conditionalFormatting sqref="O16:O21">
    <cfRule type="cellIs" dxfId="7" priority="14" operator="equal">
      <formula>"Moderado"</formula>
    </cfRule>
  </conditionalFormatting>
  <conditionalFormatting sqref="O37:O41 O52:O56 O62:O66 O77:O82">
    <cfRule type="cellIs" dxfId="6" priority="4" operator="equal">
      <formula>"Extremo"</formula>
    </cfRule>
  </conditionalFormatting>
  <conditionalFormatting sqref="O57:O61 O72:O76 P77">
    <cfRule type="cellIs" dxfId="5" priority="3" operator="equal">
      <formula>"Moderado"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A1473EB-14F0-4419-BF13-A5AB14108EA5}">
          <x14:formula1>
            <xm:f>Tablas!$A$2:$A$6</xm:f>
          </x14:formula1>
          <xm:sqref>I5:I81 I82:I91</xm:sqref>
        </x14:dataValidation>
        <x14:dataValidation type="list" allowBlank="1" showInputMessage="1" showErrorMessage="1" xr:uid="{2364C09B-1654-4340-B32F-ADEF63E5CEA3}">
          <x14:formula1>
            <xm:f>Tablas!$B$2:$B$6</xm:f>
          </x14:formula1>
          <xm:sqref>L5:L81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8CCC5-E0C8-4899-BA7D-A28FA01F7BCE}">
  <dimension ref="B3:D14"/>
  <sheetViews>
    <sheetView workbookViewId="0">
      <selection activeCell="C5" sqref="C5:C6"/>
    </sheetView>
  </sheetViews>
  <sheetFormatPr baseColWidth="10" defaultRowHeight="15" x14ac:dyDescent="0.25"/>
  <cols>
    <col min="2" max="2" width="11.42578125" customWidth="1"/>
    <col min="3" max="3" width="22.85546875" customWidth="1"/>
    <col min="4" max="4" width="102.28515625" customWidth="1"/>
  </cols>
  <sheetData>
    <row r="3" spans="2:4" x14ac:dyDescent="0.25">
      <c r="B3" s="31" t="s">
        <v>30</v>
      </c>
      <c r="C3" s="31" t="s">
        <v>31</v>
      </c>
      <c r="D3" s="31" t="s">
        <v>32</v>
      </c>
    </row>
    <row r="4" spans="2:4" x14ac:dyDescent="0.25">
      <c r="B4" s="32"/>
      <c r="C4" s="31"/>
      <c r="D4" s="31"/>
    </row>
    <row r="5" spans="2:4" x14ac:dyDescent="0.25">
      <c r="B5" s="33">
        <v>5</v>
      </c>
      <c r="C5" s="35" t="s">
        <v>25</v>
      </c>
      <c r="D5" s="34" t="s">
        <v>33</v>
      </c>
    </row>
    <row r="6" spans="2:4" x14ac:dyDescent="0.25">
      <c r="B6" s="33"/>
      <c r="C6" s="35"/>
      <c r="D6" s="24"/>
    </row>
    <row r="7" spans="2:4" x14ac:dyDescent="0.25">
      <c r="B7" s="33">
        <v>4</v>
      </c>
      <c r="C7" s="36" t="s">
        <v>26</v>
      </c>
      <c r="D7" s="34" t="s">
        <v>34</v>
      </c>
    </row>
    <row r="8" spans="2:4" x14ac:dyDescent="0.25">
      <c r="B8" s="33"/>
      <c r="C8" s="36"/>
      <c r="D8" s="24"/>
    </row>
    <row r="9" spans="2:4" x14ac:dyDescent="0.25">
      <c r="B9" s="33">
        <v>3</v>
      </c>
      <c r="C9" s="37" t="s">
        <v>27</v>
      </c>
      <c r="D9" s="34" t="s">
        <v>35</v>
      </c>
    </row>
    <row r="10" spans="2:4" x14ac:dyDescent="0.25">
      <c r="B10" s="33"/>
      <c r="C10" s="37"/>
      <c r="D10" s="24"/>
    </row>
    <row r="11" spans="2:4" x14ac:dyDescent="0.25">
      <c r="B11" s="33">
        <v>2</v>
      </c>
      <c r="C11" s="38" t="s">
        <v>28</v>
      </c>
      <c r="D11" s="34" t="s">
        <v>36</v>
      </c>
    </row>
    <row r="12" spans="2:4" x14ac:dyDescent="0.25">
      <c r="B12" s="33"/>
      <c r="C12" s="38"/>
      <c r="D12" s="24"/>
    </row>
    <row r="13" spans="2:4" x14ac:dyDescent="0.25">
      <c r="B13" s="33">
        <v>1</v>
      </c>
      <c r="C13" s="33" t="s">
        <v>29</v>
      </c>
      <c r="D13" s="34" t="s">
        <v>37</v>
      </c>
    </row>
    <row r="14" spans="2:4" x14ac:dyDescent="0.25">
      <c r="B14" s="33"/>
      <c r="C14" s="33"/>
      <c r="D14" s="24"/>
    </row>
  </sheetData>
  <mergeCells count="18">
    <mergeCell ref="D11:D12"/>
    <mergeCell ref="D13:D14"/>
    <mergeCell ref="B11:B12"/>
    <mergeCell ref="B13:B14"/>
    <mergeCell ref="C5:C6"/>
    <mergeCell ref="C7:C8"/>
    <mergeCell ref="C9:C10"/>
    <mergeCell ref="C11:C12"/>
    <mergeCell ref="C13:C14"/>
    <mergeCell ref="B9:B10"/>
    <mergeCell ref="D9:D10"/>
    <mergeCell ref="B3:B4"/>
    <mergeCell ref="C3:C4"/>
    <mergeCell ref="D3:D4"/>
    <mergeCell ref="B5:B6"/>
    <mergeCell ref="B7:B8"/>
    <mergeCell ref="D5:D6"/>
    <mergeCell ref="D7:D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AEA11-5552-43EA-A6C2-3071CD55C1D9}">
  <dimension ref="B3:D14"/>
  <sheetViews>
    <sheetView workbookViewId="0">
      <selection activeCell="C16" sqref="C16"/>
    </sheetView>
  </sheetViews>
  <sheetFormatPr baseColWidth="10" defaultRowHeight="15" x14ac:dyDescent="0.25"/>
  <cols>
    <col min="3" max="3" width="22.7109375" customWidth="1"/>
    <col min="4" max="4" width="79.7109375" customWidth="1"/>
  </cols>
  <sheetData>
    <row r="3" spans="2:4" x14ac:dyDescent="0.25">
      <c r="B3" s="31" t="s">
        <v>30</v>
      </c>
      <c r="C3" s="31" t="s">
        <v>31</v>
      </c>
      <c r="D3" s="31" t="s">
        <v>32</v>
      </c>
    </row>
    <row r="4" spans="2:4" x14ac:dyDescent="0.25">
      <c r="B4" s="32"/>
      <c r="C4" s="31"/>
      <c r="D4" s="31"/>
    </row>
    <row r="5" spans="2:4" x14ac:dyDescent="0.25">
      <c r="B5" s="33">
        <v>5</v>
      </c>
      <c r="C5" s="35" t="s">
        <v>38</v>
      </c>
      <c r="D5" s="34" t="s">
        <v>43</v>
      </c>
    </row>
    <row r="6" spans="2:4" x14ac:dyDescent="0.25">
      <c r="B6" s="33"/>
      <c r="C6" s="35"/>
      <c r="D6" s="24"/>
    </row>
    <row r="7" spans="2:4" x14ac:dyDescent="0.25">
      <c r="B7" s="33">
        <v>4</v>
      </c>
      <c r="C7" s="36" t="s">
        <v>39</v>
      </c>
      <c r="D7" s="34" t="s">
        <v>44</v>
      </c>
    </row>
    <row r="8" spans="2:4" x14ac:dyDescent="0.25">
      <c r="B8" s="33"/>
      <c r="C8" s="36"/>
      <c r="D8" s="24"/>
    </row>
    <row r="9" spans="2:4" x14ac:dyDescent="0.25">
      <c r="B9" s="33">
        <v>3</v>
      </c>
      <c r="C9" s="37" t="s">
        <v>40</v>
      </c>
      <c r="D9" s="34" t="s">
        <v>45</v>
      </c>
    </row>
    <row r="10" spans="2:4" x14ac:dyDescent="0.25">
      <c r="B10" s="33"/>
      <c r="C10" s="37"/>
      <c r="D10" s="24"/>
    </row>
    <row r="11" spans="2:4" x14ac:dyDescent="0.25">
      <c r="B11" s="33">
        <v>2</v>
      </c>
      <c r="C11" s="38" t="s">
        <v>41</v>
      </c>
      <c r="D11" s="34" t="s">
        <v>46</v>
      </c>
    </row>
    <row r="12" spans="2:4" x14ac:dyDescent="0.25">
      <c r="B12" s="33"/>
      <c r="C12" s="38"/>
      <c r="D12" s="24"/>
    </row>
    <row r="13" spans="2:4" x14ac:dyDescent="0.25">
      <c r="B13" s="33">
        <v>1</v>
      </c>
      <c r="C13" s="33" t="s">
        <v>42</v>
      </c>
      <c r="D13" s="34" t="s">
        <v>47</v>
      </c>
    </row>
    <row r="14" spans="2:4" x14ac:dyDescent="0.25">
      <c r="B14" s="33"/>
      <c r="C14" s="33"/>
      <c r="D14" s="24"/>
    </row>
  </sheetData>
  <mergeCells count="18">
    <mergeCell ref="B11:B12"/>
    <mergeCell ref="C11:C12"/>
    <mergeCell ref="D11:D12"/>
    <mergeCell ref="B13:B14"/>
    <mergeCell ref="C13:C14"/>
    <mergeCell ref="D13:D14"/>
    <mergeCell ref="B7:B8"/>
    <mergeCell ref="C7:C8"/>
    <mergeCell ref="D7:D8"/>
    <mergeCell ref="B9:B10"/>
    <mergeCell ref="C9:C10"/>
    <mergeCell ref="D9:D10"/>
    <mergeCell ref="B3:B4"/>
    <mergeCell ref="C3:C4"/>
    <mergeCell ref="D3:D4"/>
    <mergeCell ref="B5:B6"/>
    <mergeCell ref="C5:C6"/>
    <mergeCell ref="D5:D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E3CDB-34FF-469F-91BC-8B029595D44E}">
  <dimension ref="C3:O35"/>
  <sheetViews>
    <sheetView topLeftCell="B1" workbookViewId="0">
      <selection activeCell="I18" sqref="I18"/>
    </sheetView>
  </sheetViews>
  <sheetFormatPr baseColWidth="10" defaultRowHeight="15" x14ac:dyDescent="0.25"/>
  <cols>
    <col min="2" max="2" width="11.42578125" customWidth="1"/>
    <col min="3" max="3" width="16.7109375" customWidth="1"/>
    <col min="4" max="4" width="10.140625" customWidth="1"/>
    <col min="5" max="5" width="9.5703125" customWidth="1"/>
    <col min="6" max="6" width="9.7109375" customWidth="1"/>
    <col min="7" max="8" width="10.140625" customWidth="1"/>
    <col min="9" max="9" width="9.28515625" customWidth="1"/>
    <col min="12" max="12" width="14.28515625" customWidth="1"/>
    <col min="13" max="13" width="11.42578125" customWidth="1"/>
  </cols>
  <sheetData>
    <row r="3" spans="3:15" x14ac:dyDescent="0.25">
      <c r="C3" s="39" t="s">
        <v>49</v>
      </c>
      <c r="D3" s="6">
        <v>5</v>
      </c>
      <c r="E3" s="1"/>
      <c r="F3" s="2"/>
      <c r="G3" s="2"/>
      <c r="H3" s="2"/>
      <c r="I3" s="2"/>
    </row>
    <row r="4" spans="3:15" x14ac:dyDescent="0.25">
      <c r="C4" s="39"/>
      <c r="D4" s="6">
        <v>4</v>
      </c>
      <c r="E4" s="1"/>
      <c r="F4" s="1"/>
      <c r="G4" s="2"/>
      <c r="H4" s="2"/>
      <c r="I4" s="2"/>
    </row>
    <row r="5" spans="3:15" x14ac:dyDescent="0.25">
      <c r="C5" s="39"/>
      <c r="D5" s="6">
        <v>3</v>
      </c>
      <c r="E5" s="3"/>
      <c r="F5" s="3"/>
      <c r="G5" s="1"/>
      <c r="H5" s="9"/>
      <c r="I5" s="2"/>
    </row>
    <row r="6" spans="3:15" x14ac:dyDescent="0.25">
      <c r="C6" s="39"/>
      <c r="D6" s="6">
        <v>2</v>
      </c>
      <c r="E6" s="4"/>
      <c r="F6" s="4"/>
      <c r="G6" s="3"/>
      <c r="H6" s="1"/>
      <c r="I6" s="1"/>
    </row>
    <row r="7" spans="3:15" x14ac:dyDescent="0.25">
      <c r="C7" s="39"/>
      <c r="D7" s="6">
        <v>1</v>
      </c>
      <c r="E7" s="4"/>
      <c r="F7" s="4"/>
      <c r="G7" s="4"/>
      <c r="H7" s="3"/>
      <c r="I7" s="3"/>
    </row>
    <row r="8" spans="3:15" x14ac:dyDescent="0.25">
      <c r="E8" s="5">
        <v>1</v>
      </c>
      <c r="F8" s="5">
        <v>2</v>
      </c>
      <c r="G8" s="5">
        <v>3</v>
      </c>
      <c r="H8" s="5">
        <v>4</v>
      </c>
      <c r="I8" s="5">
        <v>5</v>
      </c>
    </row>
    <row r="10" spans="3:15" ht="31.5" x14ac:dyDescent="0.25">
      <c r="E10" s="39" t="s">
        <v>48</v>
      </c>
      <c r="F10" s="39"/>
      <c r="G10" s="39"/>
      <c r="H10" s="39"/>
      <c r="I10" s="39"/>
      <c r="L10" s="7" t="s">
        <v>50</v>
      </c>
      <c r="M10" s="7" t="s">
        <v>51</v>
      </c>
      <c r="N10" s="7" t="s">
        <v>24</v>
      </c>
      <c r="O10" s="7" t="s">
        <v>52</v>
      </c>
    </row>
    <row r="11" spans="3:15" x14ac:dyDescent="0.25">
      <c r="L11" s="8">
        <v>5</v>
      </c>
      <c r="M11" s="8">
        <v>5</v>
      </c>
      <c r="N11" s="8">
        <f t="shared" ref="N11:N35" si="0">L11*M11</f>
        <v>25</v>
      </c>
      <c r="O11" s="8" t="s">
        <v>53</v>
      </c>
    </row>
    <row r="12" spans="3:15" x14ac:dyDescent="0.25">
      <c r="L12" s="8">
        <v>5</v>
      </c>
      <c r="M12" s="8">
        <v>4</v>
      </c>
      <c r="N12" s="8">
        <f t="shared" si="0"/>
        <v>20</v>
      </c>
      <c r="O12" s="8" t="s">
        <v>53</v>
      </c>
    </row>
    <row r="13" spans="3:15" x14ac:dyDescent="0.25">
      <c r="L13" s="8">
        <v>5</v>
      </c>
      <c r="M13" s="8">
        <v>3</v>
      </c>
      <c r="N13" s="8">
        <f t="shared" si="0"/>
        <v>15</v>
      </c>
      <c r="O13" s="8" t="s">
        <v>53</v>
      </c>
    </row>
    <row r="14" spans="3:15" x14ac:dyDescent="0.25">
      <c r="L14" s="8">
        <v>5</v>
      </c>
      <c r="M14" s="8">
        <v>2</v>
      </c>
      <c r="N14" s="8">
        <f t="shared" si="0"/>
        <v>10</v>
      </c>
      <c r="O14" s="8" t="s">
        <v>54</v>
      </c>
    </row>
    <row r="15" spans="3:15" x14ac:dyDescent="0.25">
      <c r="L15" s="8">
        <v>5</v>
      </c>
      <c r="M15" s="8">
        <v>1</v>
      </c>
      <c r="N15" s="8">
        <f t="shared" si="0"/>
        <v>5</v>
      </c>
      <c r="O15" s="8" t="s">
        <v>54</v>
      </c>
    </row>
    <row r="16" spans="3:15" x14ac:dyDescent="0.25">
      <c r="L16" s="8">
        <v>4</v>
      </c>
      <c r="M16" s="8">
        <v>5</v>
      </c>
      <c r="N16" s="8">
        <f t="shared" si="0"/>
        <v>20</v>
      </c>
      <c r="O16" s="8" t="s">
        <v>53</v>
      </c>
    </row>
    <row r="17" spans="12:15" x14ac:dyDescent="0.25">
      <c r="L17" s="8">
        <v>4</v>
      </c>
      <c r="M17" s="8">
        <v>4</v>
      </c>
      <c r="N17" s="8">
        <f t="shared" si="0"/>
        <v>16</v>
      </c>
      <c r="O17" s="8" t="s">
        <v>53</v>
      </c>
    </row>
    <row r="18" spans="12:15" x14ac:dyDescent="0.25">
      <c r="L18" s="8">
        <v>4</v>
      </c>
      <c r="M18" s="8">
        <v>3</v>
      </c>
      <c r="N18" s="8">
        <f t="shared" si="0"/>
        <v>12</v>
      </c>
      <c r="O18" s="8" t="s">
        <v>54</v>
      </c>
    </row>
    <row r="19" spans="12:15" x14ac:dyDescent="0.25">
      <c r="L19" s="8">
        <v>4</v>
      </c>
      <c r="M19" s="8">
        <v>2</v>
      </c>
      <c r="N19" s="8">
        <f t="shared" si="0"/>
        <v>8</v>
      </c>
      <c r="O19" s="8" t="s">
        <v>54</v>
      </c>
    </row>
    <row r="20" spans="12:15" x14ac:dyDescent="0.25">
      <c r="L20" s="8">
        <v>4</v>
      </c>
      <c r="M20" s="8">
        <v>1</v>
      </c>
      <c r="N20" s="8">
        <f t="shared" si="0"/>
        <v>4</v>
      </c>
      <c r="O20" s="8" t="s">
        <v>27</v>
      </c>
    </row>
    <row r="21" spans="12:15" x14ac:dyDescent="0.25">
      <c r="L21" s="8">
        <v>3</v>
      </c>
      <c r="M21" s="8">
        <v>5</v>
      </c>
      <c r="N21" s="8">
        <f t="shared" si="0"/>
        <v>15</v>
      </c>
      <c r="O21" s="8" t="s">
        <v>53</v>
      </c>
    </row>
    <row r="22" spans="12:15" x14ac:dyDescent="0.25">
      <c r="L22" s="8">
        <v>3</v>
      </c>
      <c r="M22" s="8">
        <v>4</v>
      </c>
      <c r="N22" s="8">
        <f t="shared" si="0"/>
        <v>12</v>
      </c>
      <c r="O22" s="8" t="s">
        <v>53</v>
      </c>
    </row>
    <row r="23" spans="12:15" x14ac:dyDescent="0.25">
      <c r="L23" s="8">
        <v>3</v>
      </c>
      <c r="M23" s="8">
        <v>3</v>
      </c>
      <c r="N23" s="8">
        <f t="shared" si="0"/>
        <v>9</v>
      </c>
      <c r="O23" s="8" t="s">
        <v>54</v>
      </c>
    </row>
    <row r="24" spans="12:15" x14ac:dyDescent="0.25">
      <c r="L24" s="8">
        <v>3</v>
      </c>
      <c r="M24" s="8">
        <v>2</v>
      </c>
      <c r="N24" s="8">
        <f t="shared" si="0"/>
        <v>6</v>
      </c>
      <c r="O24" s="8" t="s">
        <v>27</v>
      </c>
    </row>
    <row r="25" spans="12:15" x14ac:dyDescent="0.25">
      <c r="L25" s="8">
        <v>3</v>
      </c>
      <c r="M25" s="8">
        <v>1</v>
      </c>
      <c r="N25" s="8">
        <f t="shared" si="0"/>
        <v>3</v>
      </c>
      <c r="O25" s="10" t="s">
        <v>55</v>
      </c>
    </row>
    <row r="26" spans="12:15" x14ac:dyDescent="0.25">
      <c r="L26" s="8">
        <v>2</v>
      </c>
      <c r="M26" s="8">
        <v>5</v>
      </c>
      <c r="N26" s="8">
        <f t="shared" si="0"/>
        <v>10</v>
      </c>
      <c r="O26" s="8" t="s">
        <v>53</v>
      </c>
    </row>
    <row r="27" spans="12:15" x14ac:dyDescent="0.25">
      <c r="L27" s="8">
        <v>2</v>
      </c>
      <c r="M27" s="8">
        <v>4</v>
      </c>
      <c r="N27" s="8">
        <f t="shared" si="0"/>
        <v>8</v>
      </c>
      <c r="O27" s="8" t="s">
        <v>54</v>
      </c>
    </row>
    <row r="28" spans="12:15" x14ac:dyDescent="0.25">
      <c r="L28" s="8">
        <v>2</v>
      </c>
      <c r="M28" s="8">
        <v>3</v>
      </c>
      <c r="N28" s="8">
        <f t="shared" si="0"/>
        <v>6</v>
      </c>
      <c r="O28" s="8" t="s">
        <v>27</v>
      </c>
    </row>
    <row r="29" spans="12:15" x14ac:dyDescent="0.25">
      <c r="L29" s="8">
        <v>2</v>
      </c>
      <c r="M29" s="8">
        <v>2</v>
      </c>
      <c r="N29" s="8">
        <f t="shared" si="0"/>
        <v>4</v>
      </c>
      <c r="O29" s="10" t="s">
        <v>55</v>
      </c>
    </row>
    <row r="30" spans="12:15" x14ac:dyDescent="0.25">
      <c r="L30" s="8">
        <v>2</v>
      </c>
      <c r="M30" s="8">
        <v>1</v>
      </c>
      <c r="N30" s="8">
        <f t="shared" si="0"/>
        <v>2</v>
      </c>
      <c r="O30" s="10" t="s">
        <v>55</v>
      </c>
    </row>
    <row r="31" spans="12:15" x14ac:dyDescent="0.25">
      <c r="L31" s="8">
        <v>1</v>
      </c>
      <c r="M31" s="8">
        <v>5</v>
      </c>
      <c r="N31" s="8">
        <f t="shared" si="0"/>
        <v>5</v>
      </c>
      <c r="O31" s="8" t="s">
        <v>54</v>
      </c>
    </row>
    <row r="32" spans="12:15" x14ac:dyDescent="0.25">
      <c r="L32" s="8">
        <v>1</v>
      </c>
      <c r="M32" s="8">
        <v>4</v>
      </c>
      <c r="N32" s="8">
        <f t="shared" si="0"/>
        <v>4</v>
      </c>
      <c r="O32" s="8" t="s">
        <v>54</v>
      </c>
    </row>
    <row r="33" spans="12:15" x14ac:dyDescent="0.25">
      <c r="L33" s="8">
        <v>1</v>
      </c>
      <c r="M33" s="8">
        <v>3</v>
      </c>
      <c r="N33" s="8">
        <f t="shared" si="0"/>
        <v>3</v>
      </c>
      <c r="O33" s="8" t="s">
        <v>27</v>
      </c>
    </row>
    <row r="34" spans="12:15" x14ac:dyDescent="0.25">
      <c r="L34" s="8">
        <v>1</v>
      </c>
      <c r="M34" s="8">
        <v>2</v>
      </c>
      <c r="N34" s="8">
        <f t="shared" si="0"/>
        <v>2</v>
      </c>
      <c r="O34" s="10" t="s">
        <v>55</v>
      </c>
    </row>
    <row r="35" spans="12:15" x14ac:dyDescent="0.25">
      <c r="L35" s="8">
        <v>1</v>
      </c>
      <c r="M35" s="8">
        <v>1</v>
      </c>
      <c r="N35" s="8">
        <f t="shared" si="0"/>
        <v>1</v>
      </c>
      <c r="O35" s="10" t="s">
        <v>55</v>
      </c>
    </row>
  </sheetData>
  <mergeCells count="2">
    <mergeCell ref="E10:I10"/>
    <mergeCell ref="C3:C7"/>
  </mergeCells>
  <conditionalFormatting sqref="O11:O35">
    <cfRule type="cellIs" dxfId="4" priority="1" operator="equal">
      <formula>"Moderado"</formula>
    </cfRule>
    <cfRule type="cellIs" dxfId="3" priority="6" operator="equal">
      <formula>"Bajo"</formula>
    </cfRule>
    <cfRule type="cellIs" dxfId="2" priority="7" operator="equal">
      <formula>"Moderado"</formula>
    </cfRule>
    <cfRule type="cellIs" dxfId="1" priority="8" operator="equal">
      <formula>"Alto"</formula>
    </cfRule>
    <cfRule type="cellIs" dxfId="0" priority="9" operator="equal">
      <formula>"Extremo"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403D9-FE83-47E4-A4D3-A96A5FB7C9DC}">
  <dimension ref="A1:B6"/>
  <sheetViews>
    <sheetView workbookViewId="0">
      <selection activeCell="C2" sqref="C2"/>
    </sheetView>
  </sheetViews>
  <sheetFormatPr baseColWidth="10" defaultRowHeight="15" x14ac:dyDescent="0.25"/>
  <sheetData>
    <row r="1" spans="1:2" x14ac:dyDescent="0.25">
      <c r="A1" t="s">
        <v>48</v>
      </c>
      <c r="B1" t="s">
        <v>49</v>
      </c>
    </row>
    <row r="2" spans="1:2" x14ac:dyDescent="0.25">
      <c r="A2">
        <v>1</v>
      </c>
      <c r="B2">
        <v>1</v>
      </c>
    </row>
    <row r="3" spans="1:2" x14ac:dyDescent="0.25">
      <c r="A3">
        <v>2</v>
      </c>
      <c r="B3">
        <v>2</v>
      </c>
    </row>
    <row r="4" spans="1:2" x14ac:dyDescent="0.25">
      <c r="A4">
        <v>3</v>
      </c>
      <c r="B4">
        <v>3</v>
      </c>
    </row>
    <row r="5" spans="1:2" x14ac:dyDescent="0.25">
      <c r="A5">
        <v>4</v>
      </c>
      <c r="B5">
        <v>4</v>
      </c>
    </row>
    <row r="6" spans="1:2" x14ac:dyDescent="0.25">
      <c r="A6">
        <v>5</v>
      </c>
      <c r="B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Matriz de Riesgos</vt:lpstr>
      <vt:lpstr>Estimación de Probabilidad</vt:lpstr>
      <vt:lpstr>Estimación de Impacto</vt:lpstr>
      <vt:lpstr>Estimación de Severidad</vt:lpstr>
      <vt:lpstr>Tablas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Milagros</dc:creator>
  <cp:lastModifiedBy>Milagros Bordon</cp:lastModifiedBy>
  <dcterms:created xsi:type="dcterms:W3CDTF">2015-06-05T18:19:34Z</dcterms:created>
  <dcterms:modified xsi:type="dcterms:W3CDTF">2026-09-14T14:29:06Z</dcterms:modified>
</cp:coreProperties>
</file>